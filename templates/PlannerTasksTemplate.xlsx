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panulajihlava.sharepoint.com/Sdilene dokumenty/IT/Templates/"/>
    </mc:Choice>
  </mc:AlternateContent>
  <xr:revisionPtr revIDLastSave="500" documentId="11_8CC28E6A38D8D69D6FC3E92FFF2F21B76B44CACF" xr6:coauthVersionLast="47" xr6:coauthVersionMax="47" xr10:uidLastSave="{79B1A095-BF55-4EDE-9FB8-692A4769BCA8}"/>
  <bookViews>
    <workbookView xWindow="-120" yWindow="-120" windowWidth="29040" windowHeight="15720" activeTab="6" xr2:uid="{00000000-000D-0000-FFFF-FFFF00000000}"/>
  </bookViews>
  <sheets>
    <sheet name="Návod" sheetId="5" r:id="rId1"/>
    <sheet name="TasksTemplate" sheetId="1" r:id="rId2"/>
    <sheet name="Groups" sheetId="2" r:id="rId3"/>
    <sheet name="Buckets" sheetId="3" r:id="rId4"/>
    <sheet name="Progress" sheetId="6" r:id="rId5"/>
    <sheet name="Priority" sheetId="7" r:id="rId6"/>
    <sheet name="Labels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9" i="1"/>
  <c r="E17" i="1"/>
  <c r="E18" i="1"/>
  <c r="E19" i="1"/>
  <c r="E6" i="1"/>
  <c r="E7" i="1"/>
  <c r="E8" i="1"/>
  <c r="E5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5" i="1"/>
  <c r="E14" i="1"/>
  <c r="E13" i="1"/>
  <c r="E12" i="1"/>
  <c r="E11" i="1"/>
  <c r="E3" i="1"/>
  <c r="E2" i="1"/>
  <c r="E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Mikeš Martin</author>
  </authors>
  <commentList>
    <comment ref="B1" authorId="0" shapeId="0" xr:uid="{7D64570A-3FB2-431E-9F71-6A5265F459DE}">
      <text>
        <r>
          <rPr>
            <sz val="11"/>
            <color theme="1"/>
            <rFont val="Calibri"/>
            <family val="2"/>
            <scheme val="minor"/>
          </rPr>
          <t>Mikeš Martin:
Seznam emailů oddělený středníky</t>
        </r>
      </text>
    </comment>
  </commentList>
</comments>
</file>

<file path=xl/sharedStrings.xml><?xml version="1.0" encoding="utf-8"?>
<sst xmlns="http://schemas.openxmlformats.org/spreadsheetml/2006/main" count="280" uniqueCount="140">
  <si>
    <t>TemplateType</t>
  </si>
  <si>
    <t>TaskName</t>
  </si>
  <si>
    <t>GroupName</t>
  </si>
  <si>
    <t>AssignedToEmails</t>
  </si>
  <si>
    <t>Bucket</t>
  </si>
  <si>
    <t>Description</t>
  </si>
  <si>
    <t>CheckListItems</t>
  </si>
  <si>
    <t>Labels</t>
  </si>
  <si>
    <t>Předseda</t>
  </si>
  <si>
    <t>Místopředseda</t>
  </si>
  <si>
    <t>Sbormistr</t>
  </si>
  <si>
    <t>martina.kolarova@campanulajihlava.cz</t>
  </si>
  <si>
    <t>pavel.jirak@campanulajihlava.cz</t>
  </si>
  <si>
    <t>Finance</t>
  </si>
  <si>
    <t>Doprava</t>
  </si>
  <si>
    <t>Dotace</t>
  </si>
  <si>
    <t>Příprava a plánování</t>
  </si>
  <si>
    <t>Umělci a program</t>
  </si>
  <si>
    <t>Propagace a marketing</t>
  </si>
  <si>
    <t>Produkce a logistika</t>
  </si>
  <si>
    <t>Finance a administrativa</t>
  </si>
  <si>
    <t>Den koncertu</t>
  </si>
  <si>
    <t>Po koncertu</t>
  </si>
  <si>
    <t>Label</t>
  </si>
  <si>
    <t>Name</t>
  </si>
  <si>
    <t>Usage</t>
  </si>
  <si>
    <t>Label1</t>
  </si>
  <si>
    <t>Organizace</t>
  </si>
  <si>
    <t>Label2</t>
  </si>
  <si>
    <t>Umělci</t>
  </si>
  <si>
    <t>Label3</t>
  </si>
  <si>
    <t>Propagace</t>
  </si>
  <si>
    <t>Label4</t>
  </si>
  <si>
    <t>Logistika</t>
  </si>
  <si>
    <t>Label5</t>
  </si>
  <si>
    <t>Label6</t>
  </si>
  <si>
    <t>Administrativa</t>
  </si>
  <si>
    <t>jolana.volakova@campanulajihlava.cz</t>
  </si>
  <si>
    <t>jiri.zajic@campanulajihlava.cz</t>
  </si>
  <si>
    <t>Tisk</t>
  </si>
  <si>
    <t>Zamluvit kostel</t>
  </si>
  <si>
    <t>Smlouva o pronájmu kostela</t>
  </si>
  <si>
    <t>Velký v kostele</t>
  </si>
  <si>
    <t>Dramaturgický plán</t>
  </si>
  <si>
    <t>Provoz</t>
  </si>
  <si>
    <t>Návod na tvorbu a aktualizaci "TasksTemplate"</t>
  </si>
  <si>
    <t>finance@campanulajihlava.cz; andrea.krontoradova@campanulajihlava.cz; jolana.volakova@campanulajihlava.cz</t>
  </si>
  <si>
    <r>
      <rPr>
        <b/>
        <sz val="11"/>
        <color theme="1"/>
        <rFont val="Calibri"/>
        <family val="2"/>
        <charset val="238"/>
        <scheme val="minor"/>
      </rPr>
      <t>TasksTemplate</t>
    </r>
    <r>
      <rPr>
        <sz val="11"/>
        <color theme="1"/>
        <rFont val="Calibri"/>
        <family val="2"/>
        <scheme val="minor"/>
      </rPr>
      <t xml:space="preserve"> — šablony všech úkolů pro různé typy aktivit/koncertů (definováno ve sloupci </t>
    </r>
    <r>
      <rPr>
        <b/>
        <sz val="11"/>
        <color theme="1"/>
        <rFont val="Calibri"/>
        <family val="2"/>
        <charset val="238"/>
        <scheme val="minor"/>
      </rPr>
      <t>TemplateType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2"/>
        <charset val="238"/>
        <scheme val="minor"/>
      </rPr>
      <t xml:space="preserve">, vyplní se jednoznačný ale stručný název úkolu (sloupec </t>
    </r>
    <r>
      <rPr>
        <b/>
        <sz val="11"/>
        <color theme="1"/>
        <rFont val="Calibri"/>
        <family val="2"/>
        <charset val="238"/>
        <scheme val="minor"/>
      </rPr>
      <t>TaskName</t>
    </r>
    <r>
      <rPr>
        <sz val="11"/>
        <color theme="1"/>
        <rFont val="Calibri"/>
        <family val="2"/>
        <charset val="238"/>
        <scheme val="minor"/>
      </rPr>
      <t xml:space="preserve">), vybere se skupina (sloupec </t>
    </r>
    <r>
      <rPr>
        <b/>
        <sz val="11"/>
        <color theme="1"/>
        <rFont val="Calibri"/>
        <family val="2"/>
        <charset val="238"/>
        <scheme val="minor"/>
      </rPr>
      <t>GroupName</t>
    </r>
    <r>
      <rPr>
        <sz val="11"/>
        <color theme="1"/>
        <rFont val="Calibri"/>
        <family val="2"/>
        <charset val="238"/>
        <scheme val="minor"/>
      </rPr>
      <t xml:space="preserve">), tím se pomocí vzorce automaticky doplní hodnoty ve sloupci </t>
    </r>
    <r>
      <rPr>
        <b/>
        <sz val="11"/>
        <color theme="1"/>
        <rFont val="Calibri"/>
        <family val="2"/>
        <charset val="238"/>
        <scheme val="minor"/>
      </rPr>
      <t>AssignedToEmails</t>
    </r>
    <r>
      <rPr>
        <sz val="11"/>
        <color theme="1"/>
        <rFont val="Calibri"/>
        <family val="2"/>
        <charset val="238"/>
        <scheme val="minor"/>
      </rPr>
      <t xml:space="preserve">, doplní se hodnota, s jakým předstihem před koncertem má být úkol splněn ve sloupci </t>
    </r>
    <r>
      <rPr>
        <b/>
        <sz val="11"/>
        <color theme="1"/>
        <rFont val="Calibri"/>
        <family val="2"/>
        <charset val="238"/>
        <scheme val="minor"/>
      </rPr>
      <t>DaysBeforeConcert</t>
    </r>
    <r>
      <rPr>
        <sz val="11"/>
        <color theme="1"/>
        <rFont val="Calibri"/>
        <family val="2"/>
        <charset val="238"/>
        <scheme val="minor"/>
      </rPr>
      <t xml:space="preserve">, přiřadí se odpovídající fáze úkolu ve sloupci </t>
    </r>
    <r>
      <rPr>
        <b/>
        <sz val="11"/>
        <color theme="1"/>
        <rFont val="Calibri"/>
        <family val="2"/>
        <charset val="238"/>
        <scheme val="minor"/>
      </rPr>
      <t>Bucket</t>
    </r>
    <r>
      <rPr>
        <sz val="11"/>
        <color theme="1"/>
        <rFont val="Calibri"/>
        <family val="2"/>
        <charset val="238"/>
        <scheme val="minor"/>
      </rPr>
      <t xml:space="preserve">, doplní se VELMI PODROBNĚ popis ve sloupci </t>
    </r>
    <r>
      <rPr>
        <b/>
        <sz val="11"/>
        <color theme="1"/>
        <rFont val="Calibri"/>
        <family val="2"/>
        <charset val="238"/>
        <scheme val="minor"/>
      </rPr>
      <t>Description</t>
    </r>
    <r>
      <rPr>
        <sz val="11"/>
        <color theme="1"/>
        <rFont val="Calibri"/>
        <family val="2"/>
        <charset val="238"/>
        <scheme val="minor"/>
      </rPr>
      <t xml:space="preserve"> (může obsahovat odkaz na interní web, či na dokument s dalšími informacemi, pokud by byl jejich rozsah příliš velký na úkol v Planneru), pokud má úkol více jednoduchých podúkolů, které si lze samostatně "odškrtávat", tak si je lze doplnit coby seznam hodnot oddělených středníkem do sloupce </t>
    </r>
    <r>
      <rPr>
        <b/>
        <sz val="11"/>
        <color theme="1"/>
        <rFont val="Calibri"/>
        <family val="2"/>
        <charset val="238"/>
        <scheme val="minor"/>
      </rPr>
      <t>CheckListItems</t>
    </r>
    <r>
      <rPr>
        <sz val="11"/>
        <color theme="1"/>
        <rFont val="Calibri"/>
        <family val="2"/>
        <charset val="238"/>
        <scheme val="minor"/>
      </rPr>
      <t xml:space="preserve">, do sloupce </t>
    </r>
    <r>
      <rPr>
        <b/>
        <sz val="11"/>
        <color theme="1"/>
        <rFont val="Calibri"/>
        <family val="2"/>
        <charset val="238"/>
        <scheme val="minor"/>
      </rPr>
      <t>Labels</t>
    </r>
    <r>
      <rPr>
        <sz val="11"/>
        <color theme="1"/>
        <rFont val="Calibri"/>
        <family val="2"/>
        <charset val="238"/>
        <scheme val="minor"/>
      </rPr>
      <t xml:space="preserve"> možno doplnit jeden či více doplňujících popisků (možno v Planneru využít pro filtrování či seskupení)</t>
    </r>
  </si>
  <si>
    <t>Progress</t>
  </si>
  <si>
    <t>Priority</t>
  </si>
  <si>
    <t>Dramaturgie koncertů v příštím roce</t>
  </si>
  <si>
    <t>Label7</t>
  </si>
  <si>
    <t>Label8</t>
  </si>
  <si>
    <t>Label9</t>
  </si>
  <si>
    <t>Hudba</t>
  </si>
  <si>
    <t>IT</t>
  </si>
  <si>
    <t>První kroky, rezervace, smlouvy, oslovení sólistů</t>
  </si>
  <si>
    <t>Sólisté, orchestr, dramaturgie</t>
  </si>
  <si>
    <t>Plakáty, grafika, pozvánky, sociální sítě</t>
  </si>
  <si>
    <t>Doprava, technika, nástroje, pódium</t>
  </si>
  <si>
    <t>Harmonogram, příprava sálu, zvukovka</t>
  </si>
  <si>
    <t>Vyúčtování, poděkování, archivace</t>
  </si>
  <si>
    <t>Faktury, vyúčtování dotací, smlouvy, vstupenky</t>
  </si>
  <si>
    <t>Pink</t>
  </si>
  <si>
    <t>Red</t>
  </si>
  <si>
    <t>Yellow</t>
  </si>
  <si>
    <t>Green</t>
  </si>
  <si>
    <t>Blue</t>
  </si>
  <si>
    <t>Purple</t>
  </si>
  <si>
    <t>Bronze</t>
  </si>
  <si>
    <t>Lime</t>
  </si>
  <si>
    <t>Äqua</t>
  </si>
  <si>
    <t>Gray</t>
  </si>
  <si>
    <t>Silver</t>
  </si>
  <si>
    <t>Brown</t>
  </si>
  <si>
    <t>Cranberry</t>
  </si>
  <si>
    <t>Orange</t>
  </si>
  <si>
    <t>Peach</t>
  </si>
  <si>
    <t>Marigold</t>
  </si>
  <si>
    <t>Light green</t>
  </si>
  <si>
    <t>Dark green</t>
  </si>
  <si>
    <t>Teal</t>
  </si>
  <si>
    <t>Light blue</t>
  </si>
  <si>
    <t>Dark blue</t>
  </si>
  <si>
    <t>Lavender</t>
  </si>
  <si>
    <t>Plum</t>
  </si>
  <si>
    <t>Light gray</t>
  </si>
  <si>
    <t>Dark gray</t>
  </si>
  <si>
    <t>Color</t>
  </si>
  <si>
    <t>Aqua</t>
  </si>
  <si>
    <t>Grafika-Podklady</t>
  </si>
  <si>
    <t>Grafika-Odeslání</t>
  </si>
  <si>
    <t>katka.ruschkova@campanulajihlava.cz</t>
  </si>
  <si>
    <t>TaskId</t>
  </si>
  <si>
    <t>2</t>
  </si>
  <si>
    <t>5.2.1</t>
  </si>
  <si>
    <t>5.2.2</t>
  </si>
  <si>
    <t>5.2.3</t>
  </si>
  <si>
    <t>Podpis smlouvy na faře</t>
  </si>
  <si>
    <t>5.2.4</t>
  </si>
  <si>
    <t>Připomenutí zkoušky/koncertu v kostele</t>
  </si>
  <si>
    <t>Kostel</t>
  </si>
  <si>
    <t>hana.molvova@campanulajihlava.cz</t>
  </si>
  <si>
    <t>Not started</t>
  </si>
  <si>
    <t>In progress</t>
  </si>
  <si>
    <t>Completed</t>
  </si>
  <si>
    <t>Low</t>
  </si>
  <si>
    <t>Medium</t>
  </si>
  <si>
    <t>Important</t>
  </si>
  <si>
    <t>Urgent</t>
  </si>
  <si>
    <t>4.1</t>
  </si>
  <si>
    <t>KOBB - Komorní orchestr Bohumila Boudy</t>
  </si>
  <si>
    <t>4.2</t>
  </si>
  <si>
    <t>Extra hudebníci (volitelně)</t>
  </si>
  <si>
    <t>4.3.1</t>
  </si>
  <si>
    <t>4.3.2</t>
  </si>
  <si>
    <t>Smlouva sbormistra</t>
  </si>
  <si>
    <t>Oslovení sólistů, dohodnutí honoráře</t>
  </si>
  <si>
    <t>Smlouvy o provedení uměleckého výkonu</t>
  </si>
  <si>
    <t>4.4.1</t>
  </si>
  <si>
    <t>3.1</t>
  </si>
  <si>
    <t>3.2</t>
  </si>
  <si>
    <t>Žádost o dotaci/e</t>
  </si>
  <si>
    <t>Vyúčtování dotace</t>
  </si>
  <si>
    <t>4.3.3</t>
  </si>
  <si>
    <t>Podpis smlouvy</t>
  </si>
  <si>
    <t>Platba za kostel</t>
  </si>
  <si>
    <t>DaysFromEvent</t>
  </si>
  <si>
    <r>
      <t xml:space="preserve">Od roku 2025 žádáme jen o jednu celoroční (2026 byly 2 dotace, neboť celková suma přesáhla 200 tis. což je maximum velké kulturní dotace).
Detailní info v souboru </t>
    </r>
    <r>
      <rPr>
        <b/>
        <sz val="11"/>
        <color theme="1"/>
        <rFont val="Calibri"/>
        <family val="2"/>
        <charset val="238"/>
        <scheme val="minor"/>
      </rPr>
      <t>Dotace.docx</t>
    </r>
    <r>
      <rPr>
        <sz val="11"/>
        <color theme="1"/>
        <rFont val="Calibri"/>
        <family val="2"/>
        <scheme val="minor"/>
      </rPr>
      <t xml:space="preserve"> (na interním webu ve složce </t>
    </r>
    <r>
      <rPr>
        <b/>
        <sz val="11"/>
        <color theme="1"/>
        <rFont val="Calibri"/>
        <family val="2"/>
        <charset val="238"/>
        <scheme val="minor"/>
      </rPr>
      <t>Komunikační web - Dokumenty\Návody\</t>
    </r>
    <r>
      <rPr>
        <sz val="11"/>
        <color theme="1"/>
        <rFont val="Calibri"/>
        <family val="2"/>
        <scheme val="minor"/>
      </rPr>
      <t>).
https://campanulajihlava.sharepoint.com/Sdilene%20dokumenty/N%C3%A1vody/Dotace.docx
Každoročně je třeba zkontrolovat aktuální podklady k Dotačním programů v kultuře na webu Magistrátu — https://www.jihlava.cz/kultura/ds-56718/p1=118030 (sekce Titulní stránka / Nabídka témat / Finance, dotace, poplatky / Dotační programy / Kultura), protože občas dochází k drobným změnám v dotačních žádostech, v návrhu smlouvy či ve formuláři dotačního vyúčtování.</t>
    </r>
  </si>
  <si>
    <t>predseda@campanulajihlava.cz; pavla.krajickova@campanulajihlava.cz</t>
  </si>
  <si>
    <t>Plakáty-Vyzvednutí</t>
  </si>
  <si>
    <t>Výlep-Předání</t>
  </si>
  <si>
    <t>Výlep-Objednávka</t>
  </si>
  <si>
    <t>Výlep-Třešť</t>
  </si>
  <si>
    <t>Výlep-Polná</t>
  </si>
  <si>
    <t>Výlep-Jihlavsko</t>
  </si>
  <si>
    <t>martin.mikes@campanulajihlava.cz</t>
  </si>
  <si>
    <t>martin.mikes@campanulajihlava.cz; jiri.zajic@campanulajihlava.cz; nada.jozifkova@campanulajihlava.cz</t>
  </si>
  <si>
    <t>vaclav.vacek@campanulajihlava.cz</t>
  </si>
  <si>
    <r>
      <t xml:space="preserve">PJ připraví dramaturgický plán na </t>
    </r>
    <r>
      <rPr>
        <b/>
        <sz val="11"/>
        <color theme="1"/>
        <rFont val="Calibri"/>
        <family val="2"/>
        <charset val="238"/>
        <scheme val="minor"/>
      </rPr>
      <t>celou příští sezonu</t>
    </r>
    <r>
      <rPr>
        <sz val="11"/>
        <color theme="1"/>
        <rFont val="Calibri"/>
        <family val="2"/>
        <scheme val="minor"/>
      </rPr>
      <t xml:space="preserve"> v prosinci předchozího, či nejpozději v první polovině ledna daného roku, abychom vše stihli zakalkulovat do dotační žádosti/žádostí, neb od dramaturgie se přímo odvíjí personální obsazení, a tedy i finanční náročnost koncertu (od 20-30 tis. Kč za malý koncert po 160-200 tis. Kč za velký s orchestrem a sólisty). Dotační žádosti se na Magistrát obvykle podávají koncem ledna.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</si>
</sst>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b/>
      <sz val="15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1" xfId="3"/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vertical="center"/>
    </xf>
    <xf numFmtId="0" fontId="6" fillId="0" borderId="0" xfId="0" applyNumberFormat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0" xfId="2" applyAlignment="1">
      <alignment wrapText="1"/>
    </xf>
    <xf numFmtId="0" fontId="0" fillId="0" borderId="0" xfId="0" applyAlignment="1">
      <alignment wrapText="1"/>
    </xf>
  </cellXfs>
  <cellStyles count="4">
    <cellStyle name="Hyperlink" xfId="1" xr:uid="{00000000-000B-0000-0000-000008000000}"/>
    <cellStyle name="Hypertextový odkaz" xfId="2" builtinId="8"/>
    <cellStyle name="Nadpis 1" xfId="3" builtinId="16"/>
    <cellStyle name="Normální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6A9072-90C5-460A-B5B9-1A3C025F6AC8}" name="tbTasksTemplate" displayName="tbTasksTemplate" ref="A1:L58" totalsRowShown="0" dataDxfId="23">
  <autoFilter ref="A1:L58" xr:uid="{6F6A9072-90C5-460A-B5B9-1A3C025F6AC8}"/>
  <sortState xmlns:xlrd2="http://schemas.microsoft.com/office/spreadsheetml/2017/richdata2" ref="A2:L58">
    <sortCondition ref="A2:A58"/>
    <sortCondition ref="B2:B58"/>
  </sortState>
  <tableColumns count="12">
    <tableColumn id="1" xr3:uid="{4C52D661-4CC9-42EE-B5EF-04C69B1D6462}" name="TemplateType" dataDxfId="21"/>
    <tableColumn id="12" xr3:uid="{1AFEC889-39A9-4288-9733-31E5AAD8303F}" name="TaskId" dataDxfId="12"/>
    <tableColumn id="2" xr3:uid="{941A95F4-E5F6-4C66-AFB2-80198BC2AE9F}" name="TaskName" dataDxfId="10"/>
    <tableColumn id="3" xr3:uid="{A9BF5DF2-A104-4AEE-82A8-B7156961E07C}" name="GroupName" dataDxfId="11"/>
    <tableColumn id="9" xr3:uid="{E5C9F185-8E1A-45E2-B673-0202F1404E7E}" name="AssignedToEmails" dataDxfId="20">
      <calculatedColumnFormula>IFERROR(INDEX(tbGroups[AssignedToEmails],MATCH(tbTasksTemplate[[#This Row],[GroupName]],tbGroups[GroupName],0)),"")</calculatedColumnFormula>
    </tableColumn>
    <tableColumn id="4" xr3:uid="{243081DC-638F-4A38-B271-0A4E603E059D}" name="DaysFromEvent" dataDxfId="15"/>
    <tableColumn id="5" xr3:uid="{58113D00-A223-45C3-96D7-3E005E32136F}" name="Bucket" dataDxfId="13"/>
    <tableColumn id="11" xr3:uid="{3A0A44F4-BE7B-4748-9000-03B2E9AA3718}" name="Progress" dataDxfId="14"/>
    <tableColumn id="10" xr3:uid="{7F3C5AF7-2136-409D-A98B-89835A846FDD}" name="Priority" dataDxfId="22"/>
    <tableColumn id="6" xr3:uid="{AEF55CB2-BA22-4075-911B-650482F21D1C}" name="Description" dataDxfId="9"/>
    <tableColumn id="7" xr3:uid="{ED47172A-2419-4ABA-89C6-AD852E00437F}" name="CheckListItems" dataDxfId="7"/>
    <tableColumn id="8" xr3:uid="{07A2DFF5-A560-4611-9797-3EE862CDAE72}" name="Labels" dataDxfId="8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CA0185-0CB9-4A8A-A480-25F864C1CC3C}" name="tbGroups" displayName="tbGroups" ref="A1:B21" totalsRowShown="0" dataDxfId="6">
  <autoFilter ref="A1:B21" xr:uid="{FECA0185-0CB9-4A8A-A480-25F864C1CC3C}"/>
  <tableColumns count="2">
    <tableColumn id="1" xr3:uid="{09026C34-A9A6-4D45-8979-7F90E35AB224}" name="GroupName" dataDxfId="5"/>
    <tableColumn id="2" xr3:uid="{A98D9E3B-DD4E-4D05-85DB-6B62135D9EB5}" name="AssignedToEmails" dataDxfId="4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AE76C5-C8FD-4D5A-89A4-EC36A8E449E2}" name="tbBuckets" displayName="tbBuckets" ref="A1:B8" totalsRowShown="0">
  <autoFilter ref="A1:B8" xr:uid="{89AE76C5-C8FD-4D5A-89A4-EC36A8E449E2}"/>
  <tableColumns count="2">
    <tableColumn id="1" xr3:uid="{D63D605C-A2A3-4A8A-8DB1-5CE10BC77200}" name="Bucket"/>
    <tableColumn id="2" xr3:uid="{D0BC6447-D368-4B9C-911F-175F9F4E7898}" name="Description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F06C96-F165-4CEF-99DE-5582397C6E4C}" name="tbProgress" displayName="tbProgress" ref="A1:A4" totalsRowShown="0">
  <autoFilter ref="A1:A4" xr:uid="{1DF06C96-F165-4CEF-99DE-5582397C6E4C}"/>
  <tableColumns count="1">
    <tableColumn id="1" xr3:uid="{B0A1B3E2-5E1A-4A7C-B7C1-11F2DCC00A2C}" name="Progress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3D8D7A-B48E-4D20-A6EF-A52BCFC01611}" name="tbPriority" displayName="tbPriority" ref="A1:A5" totalsRowShown="0">
  <autoFilter ref="A1:A5" xr:uid="{143D8D7A-B48E-4D20-A6EF-A52BCFC01611}"/>
  <tableColumns count="1">
    <tableColumn id="1" xr3:uid="{2C71D1A7-5C14-49F6-9F2D-C12E2DF3F47E}" name="Priority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AD4DDD-0B35-4389-AF25-30DECA5724B3}" name="tbLabels" displayName="tbLabels" ref="A1:D26" totalsRowShown="0">
  <autoFilter ref="A1:D26" xr:uid="{7FAD4DDD-0B35-4389-AF25-30DECA5724B3}"/>
  <tableColumns count="4">
    <tableColumn id="1" xr3:uid="{5B852BF6-9194-4E30-9010-4213F286518A}" name="Label"/>
    <tableColumn id="2" xr3:uid="{0EFBCB50-E4E7-4B80-9B7F-F36FA60E253C}" name="Name"/>
    <tableColumn id="4" xr3:uid="{5348D34B-5747-4A68-8C06-D98D1913FEA5}" name="Color"/>
    <tableColumn id="3" xr3:uid="{2B790E6B-3695-4BAC-A47F-3925F6E125CE}" name="Usag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olana.volakova@campanulajihlava.cz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martin.mikes@campanulajihlava.cz" TargetMode="External"/><Relationship Id="rId1" Type="http://schemas.openxmlformats.org/officeDocument/2006/relationships/hyperlink" Target="mailto:vaclav.vacek@campanulajihlava.cz" TargetMode="External"/><Relationship Id="rId6" Type="http://schemas.openxmlformats.org/officeDocument/2006/relationships/table" Target="../tables/table2.xml"/><Relationship Id="rId5" Type="http://schemas.openxmlformats.org/officeDocument/2006/relationships/vmlDrawing" Target="../drawings/vmlDrawing1.vml"/><Relationship Id="rId4" Type="http://schemas.openxmlformats.org/officeDocument/2006/relationships/hyperlink" Target="mailto:jolana.volakova@campanulajihlava.cz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47333-ECFC-46B8-BB1D-0890B3148F02}">
  <dimension ref="A1:A10"/>
  <sheetViews>
    <sheetView workbookViewId="0">
      <selection activeCell="B2" sqref="B2"/>
    </sheetView>
  </sheetViews>
  <sheetFormatPr defaultRowHeight="15" x14ac:dyDescent="0.25"/>
  <cols>
    <col min="1" max="1" width="76.140625" customWidth="1"/>
  </cols>
  <sheetData>
    <row r="1" spans="1:1" ht="20.25" thickBot="1" x14ac:dyDescent="0.35">
      <c r="A1" s="4" t="s">
        <v>45</v>
      </c>
    </row>
    <row r="2" spans="1:1" ht="15.75" thickTop="1" x14ac:dyDescent="0.25"/>
    <row r="3" spans="1:1" ht="180" x14ac:dyDescent="0.25">
      <c r="A3" s="5" t="s">
        <v>47</v>
      </c>
    </row>
    <row r="4" spans="1:1" x14ac:dyDescent="0.25">
      <c r="A4" s="2"/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topLeftCell="D1" workbookViewId="0">
      <selection sqref="A1:L1"/>
    </sheetView>
  </sheetViews>
  <sheetFormatPr defaultRowHeight="15" x14ac:dyDescent="0.25"/>
  <cols>
    <col min="1" max="1" width="18.28515625" bestFit="1" customWidth="1"/>
    <col min="2" max="2" width="8.85546875" bestFit="1" customWidth="1"/>
    <col min="3" max="3" width="23.140625" customWidth="1"/>
    <col min="4" max="4" width="14.28515625" bestFit="1" customWidth="1"/>
    <col min="5" max="5" width="41" customWidth="1"/>
    <col min="6" max="6" width="17.140625" bestFit="1" customWidth="1"/>
    <col min="7" max="7" width="13.85546875" bestFit="1" customWidth="1"/>
    <col min="8" max="8" width="10.85546875" bestFit="1" customWidth="1"/>
    <col min="9" max="9" width="9.85546875" bestFit="1" customWidth="1"/>
    <col min="10" max="10" width="82.42578125" customWidth="1"/>
    <col min="11" max="11" width="16.7109375" bestFit="1" customWidth="1"/>
    <col min="12" max="12" width="14.140625" bestFit="1" customWidth="1"/>
  </cols>
  <sheetData>
    <row r="1" spans="1:12" x14ac:dyDescent="0.25">
      <c r="A1" t="s">
        <v>0</v>
      </c>
      <c r="B1" t="s">
        <v>93</v>
      </c>
      <c r="C1" t="s">
        <v>1</v>
      </c>
      <c r="D1" t="s">
        <v>2</v>
      </c>
      <c r="E1" t="s">
        <v>3</v>
      </c>
      <c r="F1" t="s">
        <v>127</v>
      </c>
      <c r="G1" t="s">
        <v>4</v>
      </c>
      <c r="H1" t="s">
        <v>48</v>
      </c>
      <c r="I1" t="s">
        <v>49</v>
      </c>
      <c r="J1" t="s">
        <v>5</v>
      </c>
      <c r="K1" t="s">
        <v>6</v>
      </c>
      <c r="L1" t="s">
        <v>7</v>
      </c>
    </row>
    <row r="2" spans="1:12" ht="210" x14ac:dyDescent="0.25">
      <c r="A2" s="1" t="s">
        <v>15</v>
      </c>
      <c r="B2" s="6" t="s">
        <v>120</v>
      </c>
      <c r="C2" s="2" t="s">
        <v>122</v>
      </c>
      <c r="D2" s="1" t="s">
        <v>15</v>
      </c>
      <c r="E2" s="3" t="str">
        <f>IFERROR(INDEX(tbGroups[AssignedToEmails],MATCH(tbTasksTemplate[[#This Row],[GroupName]],tbGroups[GroupName],0)),"")</f>
        <v>jolana.volakova@campanulajihlava.cz</v>
      </c>
      <c r="F2" s="8"/>
      <c r="G2" s="2" t="s">
        <v>20</v>
      </c>
      <c r="H2" s="1"/>
      <c r="I2" s="1" t="s">
        <v>107</v>
      </c>
      <c r="J2" s="2" t="s">
        <v>128</v>
      </c>
      <c r="K2" s="2"/>
      <c r="L2" s="1" t="s">
        <v>13</v>
      </c>
    </row>
    <row r="3" spans="1:12" ht="210" x14ac:dyDescent="0.25">
      <c r="A3" s="1" t="s">
        <v>15</v>
      </c>
      <c r="B3" s="6" t="s">
        <v>121</v>
      </c>
      <c r="C3" s="2" t="s">
        <v>123</v>
      </c>
      <c r="D3" s="1" t="s">
        <v>15</v>
      </c>
      <c r="E3" s="3" t="str">
        <f>IFERROR(INDEX(tbGroups[AssignedToEmails],MATCH(tbTasksTemplate[[#This Row],[GroupName]],tbGroups[GroupName],0)),"")</f>
        <v>jolana.volakova@campanulajihlava.cz</v>
      </c>
      <c r="F3" s="8"/>
      <c r="G3" s="2" t="s">
        <v>20</v>
      </c>
      <c r="H3" s="1"/>
      <c r="I3" s="1" t="s">
        <v>107</v>
      </c>
      <c r="J3" s="2" t="s">
        <v>128</v>
      </c>
      <c r="K3" s="2"/>
      <c r="L3" s="1"/>
    </row>
    <row r="4" spans="1:12" ht="75" x14ac:dyDescent="0.25">
      <c r="A4" s="1" t="s">
        <v>43</v>
      </c>
      <c r="B4" s="6" t="s">
        <v>94</v>
      </c>
      <c r="C4" s="2" t="s">
        <v>50</v>
      </c>
      <c r="D4" s="1" t="s">
        <v>10</v>
      </c>
      <c r="E4" s="3" t="str">
        <f>IFERROR(INDEX(tbGroups[AssignedToEmails],MATCH(tbTasksTemplate[[#This Row],[GroupName]],tbGroups[GroupName],0)),"")</f>
        <v>pavel.jirak@campanulajihlava.cz</v>
      </c>
      <c r="F4" s="8"/>
      <c r="G4" s="2" t="s">
        <v>17</v>
      </c>
      <c r="H4" s="1"/>
      <c r="I4" s="1" t="s">
        <v>108</v>
      </c>
      <c r="J4" s="2" t="s">
        <v>139</v>
      </c>
      <c r="K4" s="2"/>
      <c r="L4" s="1" t="s">
        <v>54</v>
      </c>
    </row>
    <row r="5" spans="1:12" ht="30" x14ac:dyDescent="0.25">
      <c r="A5" s="1" t="s">
        <v>42</v>
      </c>
      <c r="B5" s="6" t="s">
        <v>110</v>
      </c>
      <c r="C5" s="2" t="s">
        <v>111</v>
      </c>
      <c r="D5" s="1" t="s">
        <v>9</v>
      </c>
      <c r="E5" s="3" t="str">
        <f>IFERROR(INDEX(tbGroups[AssignedToEmails],MATCH(tbTasksTemplate[[#This Row],[GroupName]],tbGroups[GroupName],0)),"")</f>
        <v>martina.kolarova@campanulajihlava.cz</v>
      </c>
      <c r="F5" s="8">
        <v>-180</v>
      </c>
      <c r="G5" s="2" t="s">
        <v>17</v>
      </c>
      <c r="H5" s="1"/>
      <c r="I5" s="1" t="s">
        <v>107</v>
      </c>
      <c r="J5" s="2"/>
      <c r="K5" s="2"/>
      <c r="L5" s="1"/>
    </row>
    <row r="6" spans="1:12" ht="45" x14ac:dyDescent="0.25">
      <c r="A6" s="1" t="s">
        <v>42</v>
      </c>
      <c r="B6" s="6" t="s">
        <v>112</v>
      </c>
      <c r="C6" s="2" t="s">
        <v>113</v>
      </c>
      <c r="D6" s="1" t="s">
        <v>8</v>
      </c>
      <c r="E6" s="3" t="str">
        <f>IFERROR(INDEX(tbGroups[AssignedToEmails],MATCH(tbTasksTemplate[[#This Row],[GroupName]],tbGroups[GroupName],0)),"")</f>
        <v>predseda@campanulajihlava.cz; pavla.krajickova@campanulajihlava.cz</v>
      </c>
      <c r="F6" s="8">
        <v>-180</v>
      </c>
      <c r="G6" s="2" t="s">
        <v>17</v>
      </c>
      <c r="H6" s="1"/>
      <c r="I6" s="1" t="s">
        <v>107</v>
      </c>
      <c r="J6" s="2"/>
      <c r="K6" s="2"/>
      <c r="L6" s="1"/>
    </row>
    <row r="7" spans="1:12" ht="45" x14ac:dyDescent="0.25">
      <c r="A7" s="1" t="s">
        <v>42</v>
      </c>
      <c r="B7" s="6" t="s">
        <v>114</v>
      </c>
      <c r="C7" s="2" t="s">
        <v>117</v>
      </c>
      <c r="D7" s="1" t="s">
        <v>8</v>
      </c>
      <c r="E7" s="3" t="str">
        <f>IFERROR(INDEX(tbGroups[AssignedToEmails],MATCH(tbTasksTemplate[[#This Row],[GroupName]],tbGroups[GroupName],0)),"")</f>
        <v>predseda@campanulajihlava.cz; pavla.krajickova@campanulajihlava.cz</v>
      </c>
      <c r="F7" s="8">
        <v>-180</v>
      </c>
      <c r="G7" s="2" t="s">
        <v>17</v>
      </c>
      <c r="H7" s="1"/>
      <c r="I7" s="1" t="s">
        <v>108</v>
      </c>
      <c r="J7" s="2"/>
      <c r="K7" s="2"/>
      <c r="L7" s="1"/>
    </row>
    <row r="8" spans="1:12" ht="45" x14ac:dyDescent="0.25">
      <c r="A8" s="1" t="s">
        <v>42</v>
      </c>
      <c r="B8" s="6" t="s">
        <v>115</v>
      </c>
      <c r="C8" s="2" t="s">
        <v>118</v>
      </c>
      <c r="D8" s="1" t="s">
        <v>8</v>
      </c>
      <c r="E8" s="3" t="str">
        <f>IFERROR(INDEX(tbGroups[AssignedToEmails],MATCH(tbTasksTemplate[[#This Row],[GroupName]],tbGroups[GroupName],0)),"")</f>
        <v>predseda@campanulajihlava.cz; pavla.krajickova@campanulajihlava.cz</v>
      </c>
      <c r="F8" s="8">
        <v>-90</v>
      </c>
      <c r="G8" s="2" t="s">
        <v>17</v>
      </c>
      <c r="H8" s="1"/>
      <c r="I8" s="1" t="s">
        <v>107</v>
      </c>
      <c r="J8" s="2"/>
      <c r="K8" s="2"/>
      <c r="L8" s="1"/>
    </row>
    <row r="9" spans="1:12" ht="45" x14ac:dyDescent="0.25">
      <c r="A9" s="1" t="s">
        <v>42</v>
      </c>
      <c r="B9" s="6" t="s">
        <v>124</v>
      </c>
      <c r="C9" s="2" t="s">
        <v>125</v>
      </c>
      <c r="D9" s="1" t="s">
        <v>13</v>
      </c>
      <c r="E9" s="3" t="str">
        <f>IFERROR(INDEX(tbGroups[AssignedToEmails],MATCH(tbTasksTemplate[[#This Row],[GroupName]],tbGroups[GroupName],0)),"")</f>
        <v>finance@campanulajihlava.cz; andrea.krontoradova@campanulajihlava.cz; jolana.volakova@campanulajihlava.cz</v>
      </c>
      <c r="F9" s="8">
        <v>-30</v>
      </c>
      <c r="G9" s="2" t="s">
        <v>20</v>
      </c>
      <c r="H9" s="1"/>
      <c r="I9" s="1" t="s">
        <v>107</v>
      </c>
      <c r="J9" s="2"/>
      <c r="K9" s="2"/>
      <c r="L9" s="1"/>
    </row>
    <row r="10" spans="1:12" ht="45" x14ac:dyDescent="0.25">
      <c r="A10" s="1" t="s">
        <v>42</v>
      </c>
      <c r="B10" s="6" t="s">
        <v>119</v>
      </c>
      <c r="C10" s="2" t="s">
        <v>116</v>
      </c>
      <c r="D10" s="1" t="s">
        <v>8</v>
      </c>
      <c r="E10" s="3" t="str">
        <f>IFERROR(INDEX(tbGroups[AssignedToEmails],MATCH(tbTasksTemplate[[#This Row],[GroupName]],tbGroups[GroupName],0)),"")</f>
        <v>predseda@campanulajihlava.cz; pavla.krajickova@campanulajihlava.cz</v>
      </c>
      <c r="F10" s="8"/>
      <c r="G10" s="2" t="s">
        <v>20</v>
      </c>
      <c r="H10" s="1"/>
      <c r="I10" s="1" t="s">
        <v>107</v>
      </c>
      <c r="J10" s="2"/>
      <c r="K10" s="2"/>
      <c r="L10" s="1"/>
    </row>
    <row r="11" spans="1:12" ht="30" x14ac:dyDescent="0.25">
      <c r="A11" s="1" t="s">
        <v>42</v>
      </c>
      <c r="B11" s="6" t="s">
        <v>95</v>
      </c>
      <c r="C11" s="2" t="s">
        <v>40</v>
      </c>
      <c r="D11" s="1" t="s">
        <v>101</v>
      </c>
      <c r="E11" s="7" t="str">
        <f>IFERROR(INDEX(tbGroups[AssignedToEmails],MATCH(tbTasksTemplate[[#This Row],[GroupName]],tbGroups[GroupName],0)),"")</f>
        <v>hana.molvova@campanulajihlava.cz</v>
      </c>
      <c r="F11" s="8">
        <v>-60</v>
      </c>
      <c r="G11" s="2" t="s">
        <v>16</v>
      </c>
      <c r="H11" s="1"/>
      <c r="I11" s="1" t="s">
        <v>107</v>
      </c>
      <c r="J11" s="2"/>
      <c r="K11" s="2"/>
      <c r="L11" s="1" t="s">
        <v>33</v>
      </c>
    </row>
    <row r="12" spans="1:12" ht="30" x14ac:dyDescent="0.25">
      <c r="A12" s="1" t="s">
        <v>42</v>
      </c>
      <c r="B12" s="6" t="s">
        <v>96</v>
      </c>
      <c r="C12" s="2" t="s">
        <v>41</v>
      </c>
      <c r="D12" s="1" t="s">
        <v>101</v>
      </c>
      <c r="E12" s="7" t="str">
        <f>IFERROR(INDEX(tbGroups[AssignedToEmails],MATCH(tbTasksTemplate[[#This Row],[GroupName]],tbGroups[GroupName],0)),"")</f>
        <v>hana.molvova@campanulajihlava.cz</v>
      </c>
      <c r="F12" s="8">
        <v>-30</v>
      </c>
      <c r="G12" s="2" t="s">
        <v>20</v>
      </c>
      <c r="H12" s="1"/>
      <c r="I12" s="1" t="s">
        <v>107</v>
      </c>
      <c r="J12" s="2"/>
      <c r="K12" s="2"/>
      <c r="L12" s="1" t="s">
        <v>13</v>
      </c>
    </row>
    <row r="13" spans="1:12" ht="30" x14ac:dyDescent="0.25">
      <c r="A13" s="1" t="s">
        <v>42</v>
      </c>
      <c r="B13" s="6" t="s">
        <v>97</v>
      </c>
      <c r="C13" s="2" t="s">
        <v>98</v>
      </c>
      <c r="D13" s="1" t="s">
        <v>101</v>
      </c>
      <c r="E13" s="7" t="str">
        <f>IFERROR(INDEX(tbGroups[AssignedToEmails],MATCH(tbTasksTemplate[[#This Row],[GroupName]],tbGroups[GroupName],0)),"")</f>
        <v>hana.molvova@campanulajihlava.cz</v>
      </c>
      <c r="F13" s="8">
        <v>-14</v>
      </c>
      <c r="G13" s="2" t="s">
        <v>20</v>
      </c>
      <c r="H13" s="1"/>
      <c r="I13" s="1" t="s">
        <v>107</v>
      </c>
      <c r="J13" s="2"/>
      <c r="K13" s="2"/>
      <c r="L13" s="1" t="s">
        <v>36</v>
      </c>
    </row>
    <row r="14" spans="1:12" ht="45" x14ac:dyDescent="0.25">
      <c r="A14" s="1" t="s">
        <v>42</v>
      </c>
      <c r="B14" s="6" t="s">
        <v>99</v>
      </c>
      <c r="C14" s="2" t="s">
        <v>100</v>
      </c>
      <c r="D14" s="1" t="s">
        <v>101</v>
      </c>
      <c r="E14" s="7" t="str">
        <f>IFERROR(INDEX(tbGroups[AssignedToEmails],MATCH(tbTasksTemplate[[#This Row],[GroupName]],tbGroups[GroupName],0)),"")</f>
        <v>hana.molvova@campanulajihlava.cz</v>
      </c>
      <c r="F14" s="8">
        <v>-14</v>
      </c>
      <c r="G14" s="2" t="s">
        <v>19</v>
      </c>
      <c r="H14" s="1"/>
      <c r="I14" s="1" t="s">
        <v>107</v>
      </c>
      <c r="J14" s="2"/>
      <c r="K14" s="2"/>
      <c r="L14" s="1" t="s">
        <v>36</v>
      </c>
    </row>
    <row r="15" spans="1:12" ht="45" x14ac:dyDescent="0.25">
      <c r="A15" s="1"/>
      <c r="B15" s="6" t="s">
        <v>99</v>
      </c>
      <c r="C15" s="2" t="s">
        <v>126</v>
      </c>
      <c r="D15" s="1" t="s">
        <v>13</v>
      </c>
      <c r="E15" s="7" t="str">
        <f>IFERROR(INDEX(tbGroups[AssignedToEmails],MATCH(tbTasksTemplate[[#This Row],[GroupName]],tbGroups[GroupName],0)),"")</f>
        <v>finance@campanulajihlava.cz; andrea.krontoradova@campanulajihlava.cz; jolana.volakova@campanulajihlava.cz</v>
      </c>
      <c r="F15" s="8">
        <v>7</v>
      </c>
      <c r="G15" s="2" t="s">
        <v>20</v>
      </c>
      <c r="H15" s="1"/>
      <c r="I15" s="1" t="s">
        <v>107</v>
      </c>
      <c r="J15" s="2"/>
      <c r="K15" s="2"/>
      <c r="L15" s="1"/>
    </row>
    <row r="16" spans="1:12" x14ac:dyDescent="0.25">
      <c r="A16" s="1"/>
      <c r="B16" s="6"/>
      <c r="C16" s="2"/>
      <c r="D16" s="1"/>
      <c r="E16" s="3"/>
      <c r="F16" s="8"/>
      <c r="G16" s="2"/>
      <c r="H16" s="1"/>
      <c r="I16" s="1" t="s">
        <v>107</v>
      </c>
      <c r="J16" s="2"/>
      <c r="K16" s="2"/>
      <c r="L16" s="1"/>
    </row>
    <row r="17" spans="1:12" x14ac:dyDescent="0.25">
      <c r="A17" s="1"/>
      <c r="B17" s="6"/>
      <c r="C17" s="2"/>
      <c r="D17" s="1"/>
      <c r="E17" s="3" t="str">
        <f>IFERROR(INDEX(tbGroups[AssignedToEmails],MATCH(tbTasksTemplate[[#This Row],[GroupName]],tbGroups[GroupName],0)),"")</f>
        <v/>
      </c>
      <c r="F17" s="8"/>
      <c r="G17" s="2"/>
      <c r="H17" s="1"/>
      <c r="I17" s="1" t="s">
        <v>107</v>
      </c>
      <c r="J17" s="2"/>
      <c r="K17" s="2"/>
      <c r="L17" s="1"/>
    </row>
    <row r="18" spans="1:12" x14ac:dyDescent="0.25">
      <c r="A18" s="1"/>
      <c r="B18" s="6"/>
      <c r="C18" s="2"/>
      <c r="D18" s="1"/>
      <c r="E18" s="3" t="str">
        <f>IFERROR(INDEX(tbGroups[AssignedToEmails],MATCH(tbTasksTemplate[[#This Row],[GroupName]],tbGroups[GroupName],0)),"")</f>
        <v/>
      </c>
      <c r="F18" s="8"/>
      <c r="G18" s="2"/>
      <c r="H18" s="1"/>
      <c r="I18" s="1" t="s">
        <v>107</v>
      </c>
      <c r="J18" s="2"/>
      <c r="K18" s="2"/>
      <c r="L18" s="1"/>
    </row>
    <row r="19" spans="1:12" x14ac:dyDescent="0.25">
      <c r="A19" s="1"/>
      <c r="B19" s="6"/>
      <c r="C19" s="2"/>
      <c r="D19" s="1"/>
      <c r="E19" s="3" t="str">
        <f>IFERROR(INDEX(tbGroups[AssignedToEmails],MATCH(tbTasksTemplate[[#This Row],[GroupName]],tbGroups[GroupName],0)),"")</f>
        <v/>
      </c>
      <c r="F19" s="8"/>
      <c r="G19" s="2"/>
      <c r="H19" s="1"/>
      <c r="I19" s="1" t="s">
        <v>107</v>
      </c>
      <c r="J19" s="2"/>
      <c r="K19" s="2"/>
      <c r="L19" s="1"/>
    </row>
    <row r="20" spans="1:12" x14ac:dyDescent="0.25">
      <c r="A20" s="1"/>
      <c r="B20" s="6"/>
      <c r="C20" s="2"/>
      <c r="D20" s="1"/>
      <c r="E20" s="7" t="str">
        <f>IFERROR(INDEX(tbGroups[AssignedToEmails],MATCH(tbTasksTemplate[[#This Row],[GroupName]],tbGroups[GroupName],0)),"")</f>
        <v/>
      </c>
      <c r="F20" s="8"/>
      <c r="G20" s="2"/>
      <c r="H20" s="1"/>
      <c r="I20" s="1" t="s">
        <v>107</v>
      </c>
      <c r="J20" s="2"/>
      <c r="K20" s="2"/>
      <c r="L20" s="1"/>
    </row>
    <row r="21" spans="1:12" x14ac:dyDescent="0.25">
      <c r="A21" s="1"/>
      <c r="B21" s="6"/>
      <c r="C21" s="2"/>
      <c r="D21" s="1"/>
      <c r="E21" s="7" t="str">
        <f>IFERROR(INDEX(tbGroups[AssignedToEmails],MATCH(tbTasksTemplate[[#This Row],[GroupName]],tbGroups[GroupName],0)),"")</f>
        <v/>
      </c>
      <c r="F21" s="8"/>
      <c r="G21" s="2"/>
      <c r="H21" s="1"/>
      <c r="I21" s="1" t="s">
        <v>107</v>
      </c>
      <c r="J21" s="2"/>
      <c r="K21" s="2"/>
      <c r="L21" s="1"/>
    </row>
    <row r="22" spans="1:12" x14ac:dyDescent="0.25">
      <c r="A22" s="1"/>
      <c r="B22" s="6"/>
      <c r="C22" s="2"/>
      <c r="D22" s="1"/>
      <c r="E22" s="7" t="str">
        <f>IFERROR(INDEX(tbGroups[AssignedToEmails],MATCH(tbTasksTemplate[[#This Row],[GroupName]],tbGroups[GroupName],0)),"")</f>
        <v/>
      </c>
      <c r="F22" s="8"/>
      <c r="G22" s="2"/>
      <c r="H22" s="1"/>
      <c r="I22" s="1" t="s">
        <v>107</v>
      </c>
      <c r="J22" s="2"/>
      <c r="K22" s="2"/>
      <c r="L22" s="1"/>
    </row>
    <row r="23" spans="1:12" x14ac:dyDescent="0.25">
      <c r="A23" s="1"/>
      <c r="B23" s="6"/>
      <c r="C23" s="2"/>
      <c r="D23" s="1"/>
      <c r="E23" s="7" t="str">
        <f>IFERROR(INDEX(tbGroups[AssignedToEmails],MATCH(tbTasksTemplate[[#This Row],[GroupName]],tbGroups[GroupName],0)),"")</f>
        <v/>
      </c>
      <c r="F23" s="8"/>
      <c r="G23" s="2"/>
      <c r="H23" s="1"/>
      <c r="I23" s="1" t="s">
        <v>107</v>
      </c>
      <c r="J23" s="2"/>
      <c r="K23" s="2"/>
      <c r="L23" s="1"/>
    </row>
    <row r="24" spans="1:12" x14ac:dyDescent="0.25">
      <c r="A24" s="1"/>
      <c r="B24" s="6"/>
      <c r="C24" s="2"/>
      <c r="D24" s="1"/>
      <c r="E24" s="7" t="str">
        <f>IFERROR(INDEX(tbGroups[AssignedToEmails],MATCH(tbTasksTemplate[[#This Row],[GroupName]],tbGroups[GroupName],0)),"")</f>
        <v/>
      </c>
      <c r="F24" s="8"/>
      <c r="G24" s="2"/>
      <c r="H24" s="1"/>
      <c r="I24" s="1" t="s">
        <v>107</v>
      </c>
      <c r="J24" s="2"/>
      <c r="K24" s="2"/>
      <c r="L24" s="1"/>
    </row>
    <row r="25" spans="1:12" x14ac:dyDescent="0.25">
      <c r="A25" s="1"/>
      <c r="B25" s="6"/>
      <c r="C25" s="2"/>
      <c r="D25" s="1"/>
      <c r="E25" s="7" t="str">
        <f>IFERROR(INDEX(tbGroups[AssignedToEmails],MATCH(tbTasksTemplate[[#This Row],[GroupName]],tbGroups[GroupName],0)),"")</f>
        <v/>
      </c>
      <c r="F25" s="8"/>
      <c r="G25" s="2"/>
      <c r="H25" s="1"/>
      <c r="I25" s="1" t="s">
        <v>107</v>
      </c>
      <c r="J25" s="2"/>
      <c r="K25" s="2"/>
      <c r="L25" s="1"/>
    </row>
    <row r="26" spans="1:12" x14ac:dyDescent="0.25">
      <c r="A26" s="1"/>
      <c r="B26" s="6"/>
      <c r="C26" s="2"/>
      <c r="D26" s="1"/>
      <c r="E26" s="7" t="str">
        <f>IFERROR(INDEX(tbGroups[AssignedToEmails],MATCH(tbTasksTemplate[[#This Row],[GroupName]],tbGroups[GroupName],0)),"")</f>
        <v/>
      </c>
      <c r="F26" s="8"/>
      <c r="G26" s="2"/>
      <c r="H26" s="1"/>
      <c r="I26" s="1" t="s">
        <v>107</v>
      </c>
      <c r="J26" s="2"/>
      <c r="K26" s="2"/>
      <c r="L26" s="1"/>
    </row>
    <row r="27" spans="1:12" x14ac:dyDescent="0.25">
      <c r="A27" s="1"/>
      <c r="B27" s="6"/>
      <c r="C27" s="2"/>
      <c r="D27" s="1"/>
      <c r="E27" s="7" t="str">
        <f>IFERROR(INDEX(tbGroups[AssignedToEmails],MATCH(tbTasksTemplate[[#This Row],[GroupName]],tbGroups[GroupName],0)),"")</f>
        <v/>
      </c>
      <c r="F27" s="8"/>
      <c r="G27" s="2"/>
      <c r="H27" s="1"/>
      <c r="I27" s="1" t="s">
        <v>107</v>
      </c>
      <c r="J27" s="2"/>
      <c r="K27" s="2"/>
      <c r="L27" s="1"/>
    </row>
    <row r="28" spans="1:12" x14ac:dyDescent="0.25">
      <c r="A28" s="1"/>
      <c r="B28" s="6"/>
      <c r="C28" s="2"/>
      <c r="D28" s="1"/>
      <c r="E28" s="7" t="str">
        <f>IFERROR(INDEX(tbGroups[AssignedToEmails],MATCH(tbTasksTemplate[[#This Row],[GroupName]],tbGroups[GroupName],0)),"")</f>
        <v/>
      </c>
      <c r="F28" s="8"/>
      <c r="G28" s="2"/>
      <c r="H28" s="1"/>
      <c r="I28" s="1" t="s">
        <v>107</v>
      </c>
      <c r="J28" s="2"/>
      <c r="K28" s="2"/>
      <c r="L28" s="1"/>
    </row>
    <row r="29" spans="1:12" x14ac:dyDescent="0.25">
      <c r="A29" s="1"/>
      <c r="B29" s="6"/>
      <c r="C29" s="2"/>
      <c r="D29" s="1"/>
      <c r="E29" s="7" t="str">
        <f>IFERROR(INDEX(tbGroups[AssignedToEmails],MATCH(tbTasksTemplate[[#This Row],[GroupName]],tbGroups[GroupName],0)),"")</f>
        <v/>
      </c>
      <c r="F29" s="8"/>
      <c r="G29" s="2"/>
      <c r="H29" s="1"/>
      <c r="I29" s="1" t="s">
        <v>107</v>
      </c>
      <c r="J29" s="2"/>
      <c r="K29" s="2"/>
      <c r="L29" s="1"/>
    </row>
    <row r="30" spans="1:12" x14ac:dyDescent="0.25">
      <c r="A30" s="1"/>
      <c r="B30" s="6"/>
      <c r="C30" s="2"/>
      <c r="D30" s="1"/>
      <c r="E30" s="7" t="str">
        <f>IFERROR(INDEX(tbGroups[AssignedToEmails],MATCH(tbTasksTemplate[[#This Row],[GroupName]],tbGroups[GroupName],0)),"")</f>
        <v/>
      </c>
      <c r="F30" s="8"/>
      <c r="G30" s="2"/>
      <c r="H30" s="1"/>
      <c r="I30" s="1" t="s">
        <v>107</v>
      </c>
      <c r="J30" s="2"/>
      <c r="K30" s="2"/>
      <c r="L30" s="1"/>
    </row>
    <row r="31" spans="1:12" x14ac:dyDescent="0.25">
      <c r="A31" s="1"/>
      <c r="B31" s="6"/>
      <c r="C31" s="2"/>
      <c r="D31" s="1"/>
      <c r="E31" s="7" t="str">
        <f>IFERROR(INDEX(tbGroups[AssignedToEmails],MATCH(tbTasksTemplate[[#This Row],[GroupName]],tbGroups[GroupName],0)),"")</f>
        <v/>
      </c>
      <c r="F31" s="8"/>
      <c r="G31" s="2"/>
      <c r="H31" s="1"/>
      <c r="I31" s="1" t="s">
        <v>107</v>
      </c>
      <c r="J31" s="2"/>
      <c r="K31" s="2"/>
      <c r="L31" s="1"/>
    </row>
    <row r="32" spans="1:12" x14ac:dyDescent="0.25">
      <c r="A32" s="1"/>
      <c r="B32" s="6"/>
      <c r="C32" s="2"/>
      <c r="D32" s="1"/>
      <c r="E32" s="7" t="str">
        <f>IFERROR(INDEX(tbGroups[AssignedToEmails],MATCH(tbTasksTemplate[[#This Row],[GroupName]],tbGroups[GroupName],0)),"")</f>
        <v/>
      </c>
      <c r="F32" s="8"/>
      <c r="G32" s="2"/>
      <c r="H32" s="1"/>
      <c r="I32" s="1" t="s">
        <v>107</v>
      </c>
      <c r="J32" s="2"/>
      <c r="K32" s="2"/>
      <c r="L32" s="1"/>
    </row>
    <row r="33" spans="1:12" x14ac:dyDescent="0.25">
      <c r="A33" s="1"/>
      <c r="B33" s="6"/>
      <c r="C33" s="2"/>
      <c r="D33" s="1"/>
      <c r="E33" s="7" t="str">
        <f>IFERROR(INDEX(tbGroups[AssignedToEmails],MATCH(tbTasksTemplate[[#This Row],[GroupName]],tbGroups[GroupName],0)),"")</f>
        <v/>
      </c>
      <c r="F33" s="8"/>
      <c r="G33" s="2"/>
      <c r="H33" s="1"/>
      <c r="I33" s="1" t="s">
        <v>107</v>
      </c>
      <c r="J33" s="2"/>
      <c r="K33" s="2"/>
      <c r="L33" s="1"/>
    </row>
    <row r="34" spans="1:12" x14ac:dyDescent="0.25">
      <c r="A34" s="1"/>
      <c r="B34" s="6"/>
      <c r="C34" s="2"/>
      <c r="D34" s="1"/>
      <c r="E34" s="7" t="str">
        <f>IFERROR(INDEX(tbGroups[AssignedToEmails],MATCH(tbTasksTemplate[[#This Row],[GroupName]],tbGroups[GroupName],0)),"")</f>
        <v/>
      </c>
      <c r="F34" s="8"/>
      <c r="G34" s="2"/>
      <c r="H34" s="1"/>
      <c r="I34" s="1" t="s">
        <v>107</v>
      </c>
      <c r="J34" s="2"/>
      <c r="K34" s="2"/>
      <c r="L34" s="1"/>
    </row>
    <row r="35" spans="1:12" x14ac:dyDescent="0.25">
      <c r="A35" s="1"/>
      <c r="B35" s="6"/>
      <c r="C35" s="2"/>
      <c r="D35" s="1"/>
      <c r="E35" s="7" t="str">
        <f>IFERROR(INDEX(tbGroups[AssignedToEmails],MATCH(tbTasksTemplate[[#This Row],[GroupName]],tbGroups[GroupName],0)),"")</f>
        <v/>
      </c>
      <c r="F35" s="8"/>
      <c r="G35" s="2"/>
      <c r="H35" s="1"/>
      <c r="I35" s="1" t="s">
        <v>107</v>
      </c>
      <c r="J35" s="2"/>
      <c r="K35" s="2"/>
      <c r="L35" s="1"/>
    </row>
    <row r="36" spans="1:12" x14ac:dyDescent="0.25">
      <c r="A36" s="1"/>
      <c r="B36" s="6"/>
      <c r="C36" s="2"/>
      <c r="D36" s="1"/>
      <c r="E36" s="7" t="str">
        <f>IFERROR(INDEX(tbGroups[AssignedToEmails],MATCH(tbTasksTemplate[[#This Row],[GroupName]],tbGroups[GroupName],0)),"")</f>
        <v/>
      </c>
      <c r="F36" s="8"/>
      <c r="G36" s="2"/>
      <c r="H36" s="1"/>
      <c r="I36" s="1" t="s">
        <v>107</v>
      </c>
      <c r="J36" s="2"/>
      <c r="K36" s="2"/>
      <c r="L36" s="1"/>
    </row>
    <row r="37" spans="1:12" x14ac:dyDescent="0.25">
      <c r="A37" s="1"/>
      <c r="B37" s="6"/>
      <c r="C37" s="2"/>
      <c r="D37" s="1"/>
      <c r="E37" s="7" t="str">
        <f>IFERROR(INDEX(tbGroups[AssignedToEmails],MATCH(tbTasksTemplate[[#This Row],[GroupName]],tbGroups[GroupName],0)),"")</f>
        <v/>
      </c>
      <c r="F37" s="8"/>
      <c r="G37" s="2"/>
      <c r="H37" s="1"/>
      <c r="I37" s="1" t="s">
        <v>107</v>
      </c>
      <c r="J37" s="2"/>
      <c r="K37" s="2"/>
      <c r="L37" s="1"/>
    </row>
    <row r="38" spans="1:12" x14ac:dyDescent="0.25">
      <c r="A38" s="1"/>
      <c r="B38" s="6"/>
      <c r="C38" s="2"/>
      <c r="D38" s="1"/>
      <c r="E38" s="7" t="str">
        <f>IFERROR(INDEX(tbGroups[AssignedToEmails],MATCH(tbTasksTemplate[[#This Row],[GroupName]],tbGroups[GroupName],0)),"")</f>
        <v/>
      </c>
      <c r="F38" s="8"/>
      <c r="G38" s="2"/>
      <c r="H38" s="1"/>
      <c r="I38" s="1" t="s">
        <v>107</v>
      </c>
      <c r="J38" s="2"/>
      <c r="K38" s="2"/>
      <c r="L38" s="1"/>
    </row>
    <row r="39" spans="1:12" x14ac:dyDescent="0.25">
      <c r="A39" s="1"/>
      <c r="B39" s="6"/>
      <c r="C39" s="2"/>
      <c r="D39" s="1"/>
      <c r="E39" s="7" t="str">
        <f>IFERROR(INDEX(tbGroups[AssignedToEmails],MATCH(tbTasksTemplate[[#This Row],[GroupName]],tbGroups[GroupName],0)),"")</f>
        <v/>
      </c>
      <c r="F39" s="8"/>
      <c r="G39" s="2"/>
      <c r="H39" s="1"/>
      <c r="I39" s="1" t="s">
        <v>107</v>
      </c>
      <c r="J39" s="2"/>
      <c r="K39" s="2"/>
      <c r="L39" s="1"/>
    </row>
    <row r="40" spans="1:12" x14ac:dyDescent="0.25">
      <c r="A40" s="1"/>
      <c r="B40" s="6"/>
      <c r="C40" s="2"/>
      <c r="D40" s="1"/>
      <c r="E40" s="7" t="str">
        <f>IFERROR(INDEX(tbGroups[AssignedToEmails],MATCH(tbTasksTemplate[[#This Row],[GroupName]],tbGroups[GroupName],0)),"")</f>
        <v/>
      </c>
      <c r="F40" s="8"/>
      <c r="G40" s="2"/>
      <c r="H40" s="1"/>
      <c r="I40" s="1" t="s">
        <v>107</v>
      </c>
      <c r="J40" s="2"/>
      <c r="K40" s="2"/>
      <c r="L40" s="1"/>
    </row>
    <row r="41" spans="1:12" x14ac:dyDescent="0.25">
      <c r="A41" s="1"/>
      <c r="B41" s="6"/>
      <c r="C41" s="2"/>
      <c r="D41" s="1"/>
      <c r="E41" s="7" t="str">
        <f>IFERROR(INDEX(tbGroups[AssignedToEmails],MATCH(tbTasksTemplate[[#This Row],[GroupName]],tbGroups[GroupName],0)),"")</f>
        <v/>
      </c>
      <c r="F41" s="8"/>
      <c r="G41" s="2"/>
      <c r="H41" s="1"/>
      <c r="I41" s="1" t="s">
        <v>107</v>
      </c>
      <c r="J41" s="2"/>
      <c r="K41" s="2"/>
      <c r="L41" s="1"/>
    </row>
    <row r="42" spans="1:12" x14ac:dyDescent="0.25">
      <c r="A42" s="1"/>
      <c r="B42" s="6"/>
      <c r="C42" s="2"/>
      <c r="D42" s="1"/>
      <c r="E42" s="7" t="str">
        <f>IFERROR(INDEX(tbGroups[AssignedToEmails],MATCH(tbTasksTemplate[[#This Row],[GroupName]],tbGroups[GroupName],0)),"")</f>
        <v/>
      </c>
      <c r="F42" s="8"/>
      <c r="G42" s="2"/>
      <c r="H42" s="1"/>
      <c r="I42" s="1" t="s">
        <v>107</v>
      </c>
      <c r="J42" s="2"/>
      <c r="K42" s="2"/>
      <c r="L42" s="1"/>
    </row>
    <row r="43" spans="1:12" x14ac:dyDescent="0.25">
      <c r="A43" s="1"/>
      <c r="B43" s="6"/>
      <c r="C43" s="2"/>
      <c r="D43" s="1"/>
      <c r="E43" s="7" t="str">
        <f>IFERROR(INDEX(tbGroups[AssignedToEmails],MATCH(tbTasksTemplate[[#This Row],[GroupName]],tbGroups[GroupName],0)),"")</f>
        <v/>
      </c>
      <c r="F43" s="8"/>
      <c r="G43" s="2"/>
      <c r="H43" s="1"/>
      <c r="I43" s="1" t="s">
        <v>107</v>
      </c>
      <c r="J43" s="2"/>
      <c r="K43" s="2"/>
      <c r="L43" s="1"/>
    </row>
    <row r="44" spans="1:12" x14ac:dyDescent="0.25">
      <c r="A44" s="1"/>
      <c r="B44" s="6"/>
      <c r="C44" s="2"/>
      <c r="D44" s="1"/>
      <c r="E44" s="7" t="str">
        <f>IFERROR(INDEX(tbGroups[AssignedToEmails],MATCH(tbTasksTemplate[[#This Row],[GroupName]],tbGroups[GroupName],0)),"")</f>
        <v/>
      </c>
      <c r="F44" s="8"/>
      <c r="G44" s="2"/>
      <c r="H44" s="1"/>
      <c r="I44" s="1" t="s">
        <v>107</v>
      </c>
      <c r="J44" s="2"/>
      <c r="K44" s="2"/>
      <c r="L44" s="1"/>
    </row>
    <row r="45" spans="1:12" x14ac:dyDescent="0.25">
      <c r="A45" s="1"/>
      <c r="B45" s="6"/>
      <c r="C45" s="2"/>
      <c r="D45" s="1"/>
      <c r="E45" s="7" t="str">
        <f>IFERROR(INDEX(tbGroups[AssignedToEmails],MATCH(tbTasksTemplate[[#This Row],[GroupName]],tbGroups[GroupName],0)),"")</f>
        <v/>
      </c>
      <c r="F45" s="8"/>
      <c r="G45" s="2"/>
      <c r="H45" s="1"/>
      <c r="I45" s="1" t="s">
        <v>107</v>
      </c>
      <c r="J45" s="2"/>
      <c r="K45" s="2"/>
      <c r="L45" s="1"/>
    </row>
    <row r="46" spans="1:12" x14ac:dyDescent="0.25">
      <c r="A46" s="1"/>
      <c r="B46" s="6"/>
      <c r="C46" s="2"/>
      <c r="D46" s="1"/>
      <c r="E46" s="7" t="str">
        <f>IFERROR(INDEX(tbGroups[AssignedToEmails],MATCH(tbTasksTemplate[[#This Row],[GroupName]],tbGroups[GroupName],0)),"")</f>
        <v/>
      </c>
      <c r="F46" s="8"/>
      <c r="G46" s="2"/>
      <c r="H46" s="1"/>
      <c r="I46" s="1" t="s">
        <v>107</v>
      </c>
      <c r="J46" s="2"/>
      <c r="K46" s="2"/>
      <c r="L46" s="1"/>
    </row>
    <row r="47" spans="1:12" x14ac:dyDescent="0.25">
      <c r="A47" s="1"/>
      <c r="B47" s="6"/>
      <c r="C47" s="2"/>
      <c r="D47" s="1"/>
      <c r="E47" s="7" t="str">
        <f>IFERROR(INDEX(tbGroups[AssignedToEmails],MATCH(tbTasksTemplate[[#This Row],[GroupName]],tbGroups[GroupName],0)),"")</f>
        <v/>
      </c>
      <c r="F47" s="8"/>
      <c r="G47" s="2"/>
      <c r="H47" s="1"/>
      <c r="I47" s="1" t="s">
        <v>107</v>
      </c>
      <c r="J47" s="2"/>
      <c r="K47" s="2"/>
      <c r="L47" s="1"/>
    </row>
    <row r="48" spans="1:12" x14ac:dyDescent="0.25">
      <c r="A48" s="1"/>
      <c r="B48" s="6"/>
      <c r="C48" s="2"/>
      <c r="D48" s="1"/>
      <c r="E48" s="7" t="str">
        <f>IFERROR(INDEX(tbGroups[AssignedToEmails],MATCH(tbTasksTemplate[[#This Row],[GroupName]],tbGroups[GroupName],0)),"")</f>
        <v/>
      </c>
      <c r="F48" s="8"/>
      <c r="G48" s="2"/>
      <c r="H48" s="1"/>
      <c r="I48" s="1" t="s">
        <v>107</v>
      </c>
      <c r="J48" s="2"/>
      <c r="K48" s="2"/>
      <c r="L48" s="1"/>
    </row>
    <row r="49" spans="1:12" x14ac:dyDescent="0.25">
      <c r="A49" s="1"/>
      <c r="B49" s="6"/>
      <c r="C49" s="2"/>
      <c r="D49" s="1"/>
      <c r="E49" s="7" t="str">
        <f>IFERROR(INDEX(tbGroups[AssignedToEmails],MATCH(tbTasksTemplate[[#This Row],[GroupName]],tbGroups[GroupName],0)),"")</f>
        <v/>
      </c>
      <c r="F49" s="8"/>
      <c r="G49" s="2"/>
      <c r="H49" s="1"/>
      <c r="I49" s="1" t="s">
        <v>107</v>
      </c>
      <c r="J49" s="2"/>
      <c r="K49" s="2"/>
      <c r="L49" s="1"/>
    </row>
    <row r="50" spans="1:12" x14ac:dyDescent="0.25">
      <c r="A50" s="1"/>
      <c r="B50" s="6"/>
      <c r="C50" s="2"/>
      <c r="D50" s="1"/>
      <c r="E50" s="7" t="str">
        <f>IFERROR(INDEX(tbGroups[AssignedToEmails],MATCH(tbTasksTemplate[[#This Row],[GroupName]],tbGroups[GroupName],0)),"")</f>
        <v/>
      </c>
      <c r="F50" s="8"/>
      <c r="G50" s="2"/>
      <c r="H50" s="1"/>
      <c r="I50" s="1" t="s">
        <v>107</v>
      </c>
      <c r="J50" s="2"/>
      <c r="K50" s="2"/>
      <c r="L50" s="1"/>
    </row>
    <row r="51" spans="1:12" x14ac:dyDescent="0.25">
      <c r="A51" s="1"/>
      <c r="B51" s="6"/>
      <c r="C51" s="2"/>
      <c r="D51" s="1"/>
      <c r="E51" s="7" t="str">
        <f>IFERROR(INDEX(tbGroups[AssignedToEmails],MATCH(tbTasksTemplate[[#This Row],[GroupName]],tbGroups[GroupName],0)),"")</f>
        <v/>
      </c>
      <c r="F51" s="8"/>
      <c r="G51" s="2"/>
      <c r="H51" s="1"/>
      <c r="I51" s="1" t="s">
        <v>107</v>
      </c>
      <c r="J51" s="2"/>
      <c r="K51" s="2"/>
      <c r="L51" s="1"/>
    </row>
    <row r="52" spans="1:12" x14ac:dyDescent="0.25">
      <c r="A52" s="1"/>
      <c r="B52" s="6"/>
      <c r="C52" s="2"/>
      <c r="D52" s="1"/>
      <c r="E52" s="7" t="str">
        <f>IFERROR(INDEX(tbGroups[AssignedToEmails],MATCH(tbTasksTemplate[[#This Row],[GroupName]],tbGroups[GroupName],0)),"")</f>
        <v/>
      </c>
      <c r="F52" s="8"/>
      <c r="G52" s="2"/>
      <c r="H52" s="1"/>
      <c r="I52" s="1" t="s">
        <v>107</v>
      </c>
      <c r="J52" s="2"/>
      <c r="K52" s="2"/>
      <c r="L52" s="1"/>
    </row>
    <row r="53" spans="1:12" x14ac:dyDescent="0.25">
      <c r="A53" s="1"/>
      <c r="B53" s="6"/>
      <c r="C53" s="2"/>
      <c r="D53" s="1"/>
      <c r="E53" s="7" t="str">
        <f>IFERROR(INDEX(tbGroups[AssignedToEmails],MATCH(tbTasksTemplate[[#This Row],[GroupName]],tbGroups[GroupName],0)),"")</f>
        <v/>
      </c>
      <c r="F53" s="8"/>
      <c r="G53" s="2"/>
      <c r="H53" s="1"/>
      <c r="I53" s="1" t="s">
        <v>107</v>
      </c>
      <c r="J53" s="2"/>
      <c r="K53" s="2"/>
      <c r="L53" s="1"/>
    </row>
    <row r="54" spans="1:12" x14ac:dyDescent="0.25">
      <c r="A54" s="1"/>
      <c r="B54" s="6"/>
      <c r="C54" s="2"/>
      <c r="D54" s="1"/>
      <c r="E54" s="7" t="str">
        <f>IFERROR(INDEX(tbGroups[AssignedToEmails],MATCH(tbTasksTemplate[[#This Row],[GroupName]],tbGroups[GroupName],0)),"")</f>
        <v/>
      </c>
      <c r="F54" s="8"/>
      <c r="G54" s="2"/>
      <c r="H54" s="1"/>
      <c r="I54" s="1" t="s">
        <v>107</v>
      </c>
      <c r="J54" s="2"/>
      <c r="K54" s="2"/>
      <c r="L54" s="1"/>
    </row>
    <row r="55" spans="1:12" x14ac:dyDescent="0.25">
      <c r="A55" s="1"/>
      <c r="B55" s="6"/>
      <c r="C55" s="2"/>
      <c r="D55" s="1"/>
      <c r="E55" s="7" t="str">
        <f>IFERROR(INDEX(tbGroups[AssignedToEmails],MATCH(tbTasksTemplate[[#This Row],[GroupName]],tbGroups[GroupName],0)),"")</f>
        <v/>
      </c>
      <c r="F55" s="8"/>
      <c r="G55" s="2"/>
      <c r="H55" s="1"/>
      <c r="I55" s="1" t="s">
        <v>107</v>
      </c>
      <c r="J55" s="2"/>
      <c r="K55" s="2"/>
      <c r="L55" s="1"/>
    </row>
    <row r="56" spans="1:12" x14ac:dyDescent="0.25">
      <c r="A56" s="1"/>
      <c r="B56" s="6"/>
      <c r="C56" s="2"/>
      <c r="D56" s="1"/>
      <c r="E56" s="7" t="str">
        <f>IFERROR(INDEX(tbGroups[AssignedToEmails],MATCH(tbTasksTemplate[[#This Row],[GroupName]],tbGroups[GroupName],0)),"")</f>
        <v/>
      </c>
      <c r="F56" s="8"/>
      <c r="G56" s="2"/>
      <c r="H56" s="1"/>
      <c r="I56" s="1" t="s">
        <v>107</v>
      </c>
      <c r="J56" s="2"/>
      <c r="K56" s="2"/>
      <c r="L56" s="1"/>
    </row>
    <row r="57" spans="1:12" x14ac:dyDescent="0.25">
      <c r="A57" s="1"/>
      <c r="B57" s="6"/>
      <c r="C57" s="2"/>
      <c r="D57" s="1"/>
      <c r="E57" s="7" t="str">
        <f>IFERROR(INDEX(tbGroups[AssignedToEmails],MATCH(tbTasksTemplate[[#This Row],[GroupName]],tbGroups[GroupName],0)),"")</f>
        <v/>
      </c>
      <c r="F57" s="8"/>
      <c r="G57" s="2"/>
      <c r="H57" s="1"/>
      <c r="I57" s="1" t="s">
        <v>107</v>
      </c>
      <c r="J57" s="2"/>
      <c r="K57" s="2"/>
      <c r="L57" s="1"/>
    </row>
    <row r="58" spans="1:12" x14ac:dyDescent="0.25">
      <c r="A58" s="1"/>
      <c r="B58" s="6"/>
      <c r="C58" s="2"/>
      <c r="D58" s="1"/>
      <c r="E58" s="7" t="str">
        <f>IFERROR(INDEX(tbGroups[AssignedToEmails],MATCH(tbTasksTemplate[[#This Row],[GroupName]],tbGroups[GroupName],0)),"")</f>
        <v/>
      </c>
      <c r="F58" s="8"/>
      <c r="G58" s="2"/>
      <c r="H58" s="1"/>
      <c r="I58" s="1" t="s">
        <v>107</v>
      </c>
      <c r="J58" s="2"/>
      <c r="K58" s="2"/>
      <c r="L58" s="1"/>
    </row>
  </sheetData>
  <conditionalFormatting sqref="I2:I58">
    <cfRule type="cellIs" dxfId="3" priority="2" operator="equal">
      <formula>"Urgent"</formula>
    </cfRule>
    <cfRule type="cellIs" dxfId="2" priority="3" operator="equal">
      <formula>"Important"</formula>
    </cfRule>
    <cfRule type="cellIs" dxfId="1" priority="4" operator="equal">
      <formula>"Medium"</formula>
    </cfRule>
    <cfRule type="cellIs" dxfId="0" priority="5" operator="equal">
      <formula>"Low"</formula>
    </cfRule>
  </conditionalFormatting>
  <conditionalFormatting sqref="F2:F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4">
    <dataValidation type="list" allowBlank="1" showInputMessage="1" showErrorMessage="1" sqref="D2:D58" xr:uid="{A4444A3C-E3F6-43FE-98E2-92F61C341745}">
      <formula1>INDIRECT("tbGroups[GroupName]")</formula1>
    </dataValidation>
    <dataValidation type="list" allowBlank="1" showInputMessage="1" showErrorMessage="1" sqref="L2:L58" xr:uid="{087A0A6E-E5C3-4A89-896B-9346A3C6C46A}">
      <formula1>INDIRECT("tbLabels[Name]")</formula1>
    </dataValidation>
    <dataValidation type="list" allowBlank="1" showInputMessage="1" showErrorMessage="1" sqref="G2:H58" xr:uid="{9A30CABE-B419-4467-9274-7375AFFD867F}">
      <formula1>INDIRECT("tbBuckets[Bucket]")</formula1>
    </dataValidation>
    <dataValidation type="list" allowBlank="1" showInputMessage="1" showErrorMessage="1" sqref="I2:I58" xr:uid="{055C1C98-2620-49B0-9B76-DA5EBAAC3095}">
      <formula1>INDIRECT("tbPriority[Priority]")</formula1>
    </dataValidation>
  </dataValidations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EE9BA-2EE2-4F7F-B815-DA73EE6C468C}">
  <dimension ref="A1:B21"/>
  <sheetViews>
    <sheetView workbookViewId="0">
      <selection activeCell="A13" sqref="A13"/>
    </sheetView>
  </sheetViews>
  <sheetFormatPr defaultRowHeight="15" x14ac:dyDescent="0.25"/>
  <cols>
    <col min="1" max="1" width="18.28515625" bestFit="1" customWidth="1"/>
    <col min="2" max="2" width="46.5703125" customWidth="1"/>
  </cols>
  <sheetData>
    <row r="1" spans="1:2" x14ac:dyDescent="0.25">
      <c r="A1" t="s">
        <v>2</v>
      </c>
      <c r="B1" t="s">
        <v>3</v>
      </c>
    </row>
    <row r="2" spans="1:2" ht="30" x14ac:dyDescent="0.25">
      <c r="A2" s="1" t="s">
        <v>8</v>
      </c>
      <c r="B2" s="10" t="s">
        <v>129</v>
      </c>
    </row>
    <row r="3" spans="1:2" x14ac:dyDescent="0.25">
      <c r="A3" s="1" t="s">
        <v>9</v>
      </c>
      <c r="B3" s="10" t="s">
        <v>11</v>
      </c>
    </row>
    <row r="4" spans="1:2" x14ac:dyDescent="0.25">
      <c r="A4" s="1" t="s">
        <v>10</v>
      </c>
      <c r="B4" s="10" t="s">
        <v>12</v>
      </c>
    </row>
    <row r="5" spans="1:2" ht="45" x14ac:dyDescent="0.25">
      <c r="A5" s="1" t="s">
        <v>13</v>
      </c>
      <c r="B5" s="10" t="s">
        <v>46</v>
      </c>
    </row>
    <row r="6" spans="1:2" x14ac:dyDescent="0.25">
      <c r="A6" s="1" t="s">
        <v>14</v>
      </c>
      <c r="B6" s="10" t="s">
        <v>38</v>
      </c>
    </row>
    <row r="7" spans="1:2" x14ac:dyDescent="0.25">
      <c r="A7" s="1" t="s">
        <v>15</v>
      </c>
      <c r="B7" s="10" t="s">
        <v>37</v>
      </c>
    </row>
    <row r="8" spans="1:2" x14ac:dyDescent="0.25">
      <c r="A8" s="1" t="s">
        <v>90</v>
      </c>
      <c r="B8" s="10" t="s">
        <v>12</v>
      </c>
    </row>
    <row r="9" spans="1:2" x14ac:dyDescent="0.25">
      <c r="A9" s="1" t="s">
        <v>91</v>
      </c>
      <c r="B9" s="10" t="s">
        <v>92</v>
      </c>
    </row>
    <row r="10" spans="1:2" x14ac:dyDescent="0.25">
      <c r="A10" s="1" t="s">
        <v>39</v>
      </c>
      <c r="B10" s="10"/>
    </row>
    <row r="11" spans="1:2" x14ac:dyDescent="0.25">
      <c r="A11" s="1" t="s">
        <v>39</v>
      </c>
      <c r="B11" s="10"/>
    </row>
    <row r="12" spans="1:2" x14ac:dyDescent="0.25">
      <c r="A12" s="1" t="s">
        <v>39</v>
      </c>
      <c r="B12" s="10"/>
    </row>
    <row r="13" spans="1:2" x14ac:dyDescent="0.25">
      <c r="A13" s="1" t="s">
        <v>101</v>
      </c>
      <c r="B13" s="10" t="s">
        <v>102</v>
      </c>
    </row>
    <row r="14" spans="1:2" x14ac:dyDescent="0.25">
      <c r="A14" s="1" t="s">
        <v>130</v>
      </c>
      <c r="B14" s="9" t="s">
        <v>37</v>
      </c>
    </row>
    <row r="15" spans="1:2" x14ac:dyDescent="0.25">
      <c r="A15" s="1" t="s">
        <v>131</v>
      </c>
      <c r="B15" s="9" t="s">
        <v>37</v>
      </c>
    </row>
    <row r="16" spans="1:2" x14ac:dyDescent="0.25">
      <c r="A16" s="1" t="s">
        <v>132</v>
      </c>
      <c r="B16" s="10"/>
    </row>
    <row r="17" spans="1:2" x14ac:dyDescent="0.25">
      <c r="A17" s="1" t="s">
        <v>133</v>
      </c>
      <c r="B17" s="9" t="s">
        <v>136</v>
      </c>
    </row>
    <row r="18" spans="1:2" x14ac:dyDescent="0.25">
      <c r="A18" s="1" t="s">
        <v>134</v>
      </c>
      <c r="B18" s="9" t="s">
        <v>138</v>
      </c>
    </row>
    <row r="19" spans="1:2" ht="45" x14ac:dyDescent="0.25">
      <c r="A19" s="1" t="s">
        <v>135</v>
      </c>
      <c r="B19" s="10" t="s">
        <v>137</v>
      </c>
    </row>
    <row r="20" spans="1:2" x14ac:dyDescent="0.25">
      <c r="A20" s="1"/>
      <c r="B20" s="10"/>
    </row>
    <row r="21" spans="1:2" x14ac:dyDescent="0.25">
      <c r="A21" s="1"/>
      <c r="B21" s="10"/>
    </row>
  </sheetData>
  <hyperlinks>
    <hyperlink ref="B18" r:id="rId1" xr:uid="{03D0E58B-BAC7-4F56-AB74-A31217896C4B}"/>
    <hyperlink ref="B17" r:id="rId2" xr:uid="{123AA566-3BEC-4169-B580-9BC5CD403DB5}"/>
    <hyperlink ref="B15" r:id="rId3" xr:uid="{6F985202-F557-4A89-9EB8-7FD25218ADB7}"/>
    <hyperlink ref="B14" r:id="rId4" xr:uid="{D736A8F2-3DE5-4D67-B42A-C9404FFD1F12}"/>
  </hyperlinks>
  <pageMargins left="0.7" right="0.7" top="0.75" bottom="0.75" header="0.3" footer="0.3"/>
  <legacyDrawing r:id="rId5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23737-32EB-46E1-83CB-6AB7B5538A83}">
  <dimension ref="A1:B8"/>
  <sheetViews>
    <sheetView workbookViewId="0">
      <selection sqref="A1:A8"/>
    </sheetView>
  </sheetViews>
  <sheetFormatPr defaultRowHeight="15" x14ac:dyDescent="0.25"/>
  <cols>
    <col min="1" max="1" width="22.85546875" bestFit="1" customWidth="1"/>
    <col min="2" max="2" width="44.140625" bestFit="1" customWidth="1"/>
  </cols>
  <sheetData>
    <row r="1" spans="1:2" x14ac:dyDescent="0.25">
      <c r="A1" t="s">
        <v>4</v>
      </c>
      <c r="B1" t="s">
        <v>5</v>
      </c>
    </row>
    <row r="2" spans="1:2" x14ac:dyDescent="0.25">
      <c r="A2" t="s">
        <v>16</v>
      </c>
      <c r="B2" t="s">
        <v>56</v>
      </c>
    </row>
    <row r="3" spans="1:2" x14ac:dyDescent="0.25">
      <c r="A3" t="s">
        <v>17</v>
      </c>
      <c r="B3" t="s">
        <v>57</v>
      </c>
    </row>
    <row r="4" spans="1:2" x14ac:dyDescent="0.25">
      <c r="A4" t="s">
        <v>18</v>
      </c>
      <c r="B4" t="s">
        <v>58</v>
      </c>
    </row>
    <row r="5" spans="1:2" x14ac:dyDescent="0.25">
      <c r="A5" t="s">
        <v>19</v>
      </c>
      <c r="B5" t="s">
        <v>59</v>
      </c>
    </row>
    <row r="6" spans="1:2" x14ac:dyDescent="0.25">
      <c r="A6" t="s">
        <v>20</v>
      </c>
      <c r="B6" t="s">
        <v>62</v>
      </c>
    </row>
    <row r="7" spans="1:2" x14ac:dyDescent="0.25">
      <c r="A7" t="s">
        <v>21</v>
      </c>
      <c r="B7" t="s">
        <v>60</v>
      </c>
    </row>
    <row r="8" spans="1:2" x14ac:dyDescent="0.25">
      <c r="A8" t="s">
        <v>22</v>
      </c>
      <c r="B8" t="s">
        <v>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8011D-0F88-45ED-8780-588CB51DE8D8}">
  <dimension ref="A1:A4"/>
  <sheetViews>
    <sheetView workbookViewId="0">
      <selection sqref="A1:A4"/>
    </sheetView>
  </sheetViews>
  <sheetFormatPr defaultRowHeight="15" x14ac:dyDescent="0.25"/>
  <cols>
    <col min="1" max="1" width="11" bestFit="1" customWidth="1"/>
  </cols>
  <sheetData>
    <row r="1" spans="1:1" x14ac:dyDescent="0.25">
      <c r="A1" t="s">
        <v>48</v>
      </c>
    </row>
    <row r="2" spans="1:1" x14ac:dyDescent="0.25">
      <c r="A2" t="s">
        <v>103</v>
      </c>
    </row>
    <row r="3" spans="1:1" x14ac:dyDescent="0.25">
      <c r="A3" t="s">
        <v>104</v>
      </c>
    </row>
    <row r="4" spans="1:1" x14ac:dyDescent="0.25">
      <c r="A4" t="s">
        <v>105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A2FD7-0BD7-4E5B-9376-8129C300C3BF}">
  <dimension ref="A1:A5"/>
  <sheetViews>
    <sheetView workbookViewId="0">
      <selection sqref="A1:A5"/>
    </sheetView>
  </sheetViews>
  <sheetFormatPr defaultRowHeight="15" x14ac:dyDescent="0.25"/>
  <cols>
    <col min="1" max="1" width="9.85546875" bestFit="1" customWidth="1"/>
  </cols>
  <sheetData>
    <row r="1" spans="1:1" x14ac:dyDescent="0.25">
      <c r="A1" t="s">
        <v>49</v>
      </c>
    </row>
    <row r="2" spans="1:1" x14ac:dyDescent="0.25">
      <c r="A2" t="s">
        <v>106</v>
      </c>
    </row>
    <row r="3" spans="1:1" x14ac:dyDescent="0.25">
      <c r="A3" t="s">
        <v>107</v>
      </c>
    </row>
    <row r="4" spans="1:1" x14ac:dyDescent="0.25">
      <c r="A4" t="s">
        <v>108</v>
      </c>
    </row>
    <row r="5" spans="1:1" x14ac:dyDescent="0.25">
      <c r="A5" t="s">
        <v>109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16C23-4A0A-42B9-8725-6CB7B5DD003E}">
  <dimension ref="A1:H26"/>
  <sheetViews>
    <sheetView tabSelected="1" workbookViewId="0">
      <selection activeCell="B2" sqref="B2:B10"/>
    </sheetView>
  </sheetViews>
  <sheetFormatPr defaultRowHeight="15" x14ac:dyDescent="0.25"/>
  <cols>
    <col min="2" max="2" width="14.140625" bestFit="1" customWidth="1"/>
    <col min="3" max="3" width="10.85546875" bestFit="1" customWidth="1"/>
    <col min="4" max="4" width="8.7109375" bestFit="1" customWidth="1"/>
  </cols>
  <sheetData>
    <row r="1" spans="1:8" x14ac:dyDescent="0.25">
      <c r="A1" t="s">
        <v>23</v>
      </c>
      <c r="B1" t="s">
        <v>24</v>
      </c>
      <c r="C1" t="s">
        <v>88</v>
      </c>
      <c r="D1" t="s">
        <v>25</v>
      </c>
    </row>
    <row r="2" spans="1:8" x14ac:dyDescent="0.25">
      <c r="A2" t="s">
        <v>26</v>
      </c>
      <c r="B2" t="s">
        <v>27</v>
      </c>
      <c r="C2" t="s">
        <v>63</v>
      </c>
      <c r="G2" t="s">
        <v>63</v>
      </c>
      <c r="H2">
        <v>1</v>
      </c>
    </row>
    <row r="3" spans="1:8" x14ac:dyDescent="0.25">
      <c r="A3" t="s">
        <v>28</v>
      </c>
      <c r="B3" t="s">
        <v>29</v>
      </c>
      <c r="C3" t="s">
        <v>64</v>
      </c>
      <c r="G3" t="s">
        <v>64</v>
      </c>
      <c r="H3">
        <v>2</v>
      </c>
    </row>
    <row r="4" spans="1:8" x14ac:dyDescent="0.25">
      <c r="A4" t="s">
        <v>30</v>
      </c>
      <c r="B4" t="s">
        <v>31</v>
      </c>
      <c r="C4" t="s">
        <v>65</v>
      </c>
      <c r="G4" t="s">
        <v>65</v>
      </c>
      <c r="H4">
        <v>3</v>
      </c>
    </row>
    <row r="5" spans="1:8" x14ac:dyDescent="0.25">
      <c r="A5" t="s">
        <v>32</v>
      </c>
      <c r="B5" t="s">
        <v>33</v>
      </c>
      <c r="C5" t="s">
        <v>66</v>
      </c>
      <c r="G5" t="s">
        <v>66</v>
      </c>
      <c r="H5">
        <v>4</v>
      </c>
    </row>
    <row r="6" spans="1:8" x14ac:dyDescent="0.25">
      <c r="A6" t="s">
        <v>34</v>
      </c>
      <c r="B6" t="s">
        <v>13</v>
      </c>
      <c r="C6" t="s">
        <v>67</v>
      </c>
      <c r="G6" t="s">
        <v>67</v>
      </c>
      <c r="H6">
        <v>5</v>
      </c>
    </row>
    <row r="7" spans="1:8" x14ac:dyDescent="0.25">
      <c r="A7" t="s">
        <v>35</v>
      </c>
      <c r="B7" t="s">
        <v>36</v>
      </c>
      <c r="C7" t="s">
        <v>68</v>
      </c>
      <c r="G7" t="s">
        <v>68</v>
      </c>
      <c r="H7">
        <v>6</v>
      </c>
    </row>
    <row r="8" spans="1:8" x14ac:dyDescent="0.25">
      <c r="A8" t="s">
        <v>51</v>
      </c>
      <c r="B8" t="s">
        <v>54</v>
      </c>
      <c r="C8" t="s">
        <v>69</v>
      </c>
      <c r="G8" t="s">
        <v>69</v>
      </c>
      <c r="H8">
        <v>7</v>
      </c>
    </row>
    <row r="9" spans="1:8" x14ac:dyDescent="0.25">
      <c r="A9" t="s">
        <v>52</v>
      </c>
      <c r="B9" t="s">
        <v>44</v>
      </c>
      <c r="C9" t="s">
        <v>70</v>
      </c>
      <c r="G9" t="s">
        <v>70</v>
      </c>
      <c r="H9">
        <v>8</v>
      </c>
    </row>
    <row r="10" spans="1:8" x14ac:dyDescent="0.25">
      <c r="A10" t="s">
        <v>53</v>
      </c>
      <c r="B10" t="s">
        <v>55</v>
      </c>
      <c r="C10" t="s">
        <v>89</v>
      </c>
      <c r="G10" t="s">
        <v>71</v>
      </c>
      <c r="H10">
        <v>9</v>
      </c>
    </row>
    <row r="11" spans="1:8" x14ac:dyDescent="0.25">
      <c r="C11" t="s">
        <v>72</v>
      </c>
      <c r="G11" t="s">
        <v>72</v>
      </c>
      <c r="H11">
        <v>10</v>
      </c>
    </row>
    <row r="12" spans="1:8" x14ac:dyDescent="0.25">
      <c r="C12" t="s">
        <v>73</v>
      </c>
      <c r="G12" t="s">
        <v>73</v>
      </c>
      <c r="H12">
        <v>11</v>
      </c>
    </row>
    <row r="13" spans="1:8" x14ac:dyDescent="0.25">
      <c r="C13" t="s">
        <v>74</v>
      </c>
      <c r="G13" t="s">
        <v>74</v>
      </c>
      <c r="H13">
        <v>12</v>
      </c>
    </row>
    <row r="14" spans="1:8" x14ac:dyDescent="0.25">
      <c r="C14" t="s">
        <v>75</v>
      </c>
      <c r="G14" t="s">
        <v>75</v>
      </c>
      <c r="H14">
        <v>13</v>
      </c>
    </row>
    <row r="15" spans="1:8" x14ac:dyDescent="0.25">
      <c r="C15" t="s">
        <v>76</v>
      </c>
      <c r="G15" t="s">
        <v>76</v>
      </c>
      <c r="H15">
        <v>14</v>
      </c>
    </row>
    <row r="16" spans="1:8" x14ac:dyDescent="0.25">
      <c r="C16" t="s">
        <v>77</v>
      </c>
      <c r="G16" t="s">
        <v>77</v>
      </c>
      <c r="H16">
        <v>15</v>
      </c>
    </row>
    <row r="17" spans="3:8" x14ac:dyDescent="0.25">
      <c r="C17" t="s">
        <v>78</v>
      </c>
      <c r="G17" t="s">
        <v>78</v>
      </c>
      <c r="H17">
        <v>16</v>
      </c>
    </row>
    <row r="18" spans="3:8" x14ac:dyDescent="0.25">
      <c r="C18" t="s">
        <v>79</v>
      </c>
      <c r="G18" t="s">
        <v>79</v>
      </c>
      <c r="H18">
        <v>17</v>
      </c>
    </row>
    <row r="19" spans="3:8" x14ac:dyDescent="0.25">
      <c r="C19" t="s">
        <v>80</v>
      </c>
      <c r="G19" t="s">
        <v>80</v>
      </c>
      <c r="H19">
        <v>18</v>
      </c>
    </row>
    <row r="20" spans="3:8" x14ac:dyDescent="0.25">
      <c r="C20" t="s">
        <v>81</v>
      </c>
      <c r="G20" t="s">
        <v>81</v>
      </c>
      <c r="H20">
        <v>19</v>
      </c>
    </row>
    <row r="21" spans="3:8" x14ac:dyDescent="0.25">
      <c r="C21" t="s">
        <v>82</v>
      </c>
      <c r="G21" t="s">
        <v>82</v>
      </c>
      <c r="H21">
        <v>20</v>
      </c>
    </row>
    <row r="22" spans="3:8" x14ac:dyDescent="0.25">
      <c r="C22" t="s">
        <v>83</v>
      </c>
      <c r="G22" t="s">
        <v>83</v>
      </c>
      <c r="H22">
        <v>21</v>
      </c>
    </row>
    <row r="23" spans="3:8" x14ac:dyDescent="0.25">
      <c r="C23" t="s">
        <v>84</v>
      </c>
      <c r="G23" t="s">
        <v>84</v>
      </c>
      <c r="H23">
        <v>22</v>
      </c>
    </row>
    <row r="24" spans="3:8" x14ac:dyDescent="0.25">
      <c r="C24" t="s">
        <v>85</v>
      </c>
      <c r="G24" t="s">
        <v>85</v>
      </c>
      <c r="H24">
        <v>23</v>
      </c>
    </row>
    <row r="25" spans="3:8" x14ac:dyDescent="0.25">
      <c r="C25" t="s">
        <v>86</v>
      </c>
      <c r="G25" t="s">
        <v>86</v>
      </c>
      <c r="H25">
        <v>24</v>
      </c>
    </row>
    <row r="26" spans="3:8" x14ac:dyDescent="0.25">
      <c r="C26" t="s">
        <v>87</v>
      </c>
      <c r="G26" t="s">
        <v>87</v>
      </c>
      <c r="H26">
        <v>25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c4dfb2-a352-485c-ad73-0b7d0edbff46">
      <Terms xmlns="http://schemas.microsoft.com/office/infopath/2007/PartnerControls"/>
    </lcf76f155ced4ddcb4097134ff3c332f>
    <TaxCatchAll xmlns="03cf642e-c1dc-4b21-888a-9e819b1c59f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380A4BB39791144AFFE70CF98C23316" ma:contentTypeVersion="13" ma:contentTypeDescription="Vytvoří nový dokument" ma:contentTypeScope="" ma:versionID="6fb0e239a2cb5ef21d13c380e321acd4">
  <xsd:schema xmlns:xsd="http://www.w3.org/2001/XMLSchema" xmlns:xs="http://www.w3.org/2001/XMLSchema" xmlns:p="http://schemas.microsoft.com/office/2006/metadata/properties" xmlns:ns2="73c4dfb2-a352-485c-ad73-0b7d0edbff46" xmlns:ns3="03cf642e-c1dc-4b21-888a-9e819b1c59f0" targetNamespace="http://schemas.microsoft.com/office/2006/metadata/properties" ma:root="true" ma:fieldsID="d6d3f4e2ac3469392bb0671f9eebb8d0" ns2:_="" ns3:_="">
    <xsd:import namespace="73c4dfb2-a352-485c-ad73-0b7d0edbff46"/>
    <xsd:import namespace="03cf642e-c1dc-4b21-888a-9e819b1c59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4dfb2-a352-485c-ad73-0b7d0edbff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Značky obrázků" ma:readOnly="false" ma:fieldId="{5cf76f15-5ced-4ddc-b409-7134ff3c332f}" ma:taxonomyMulti="true" ma:sspId="3f732d4d-0eb2-4ed5-8e22-dffe761f83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cf642e-c1dc-4b21-888a-9e819b1c59f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ae39ff0-49d0-4a1d-bfc1-e479aa6b2767}" ma:internalName="TaxCatchAll" ma:showField="CatchAllData" ma:web="03cf642e-c1dc-4b21-888a-9e819b1c59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20D915-D8A5-4C1E-8058-C99FF055C989}">
  <ds:schemaRefs>
    <ds:schemaRef ds:uri="http://schemas.microsoft.com/office/2006/metadata/properties"/>
    <ds:schemaRef ds:uri="http://schemas.microsoft.com/office/infopath/2007/PartnerControls"/>
    <ds:schemaRef ds:uri="73c4dfb2-a352-485c-ad73-0b7d0edbff46"/>
    <ds:schemaRef ds:uri="03cf642e-c1dc-4b21-888a-9e819b1c59f0"/>
  </ds:schemaRefs>
</ds:datastoreItem>
</file>

<file path=customXml/itemProps2.xml><?xml version="1.0" encoding="utf-8"?>
<ds:datastoreItem xmlns:ds="http://schemas.openxmlformats.org/officeDocument/2006/customXml" ds:itemID="{2A5B6814-1B8C-454A-869A-4F11D452E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c4dfb2-a352-485c-ad73-0b7d0edbff46"/>
    <ds:schemaRef ds:uri="03cf642e-c1dc-4b21-888a-9e819b1c59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22B2D2D-79B5-4E05-877C-2D15DAD51D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7</vt:i4>
      </vt:variant>
    </vt:vector>
  </HeadingPairs>
  <TitlesOfParts>
    <vt:vector size="7" baseType="lpstr">
      <vt:lpstr>Návod</vt:lpstr>
      <vt:lpstr>TasksTemplate</vt:lpstr>
      <vt:lpstr>Groups</vt:lpstr>
      <vt:lpstr>Buckets</vt:lpstr>
      <vt:lpstr>Progress</vt:lpstr>
      <vt:lpstr>Priority</vt:lpstr>
      <vt:lpstr>Labels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Mikeš Martin</cp:lastModifiedBy>
  <cp:revision/>
  <dcterms:created xsi:type="dcterms:W3CDTF">2026-04-09T09:37:42Z</dcterms:created>
  <dcterms:modified xsi:type="dcterms:W3CDTF">2026-05-07T14:00:11Z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0x010100B380A4BB39791144AFFE70CF98C23316</vt:lpwstr>
  </property>
  <property fmtid="{D5CDD505-2E9C-101B-9397-08002B2CF9AE}" pid="3" name="MediaServiceImageTags">
    <vt:lpwstr/>
  </property>
</Properties>
</file>